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ers\OneDrive\Desktop\"/>
    </mc:Choice>
  </mc:AlternateContent>
  <xr:revisionPtr revIDLastSave="0" documentId="13_ncr:1_{EDDBC814-8024-4D73-80C7-563E5C683184}" xr6:coauthVersionLast="47" xr6:coauthVersionMax="47" xr10:uidLastSave="{00000000-0000-0000-0000-000000000000}"/>
  <bookViews>
    <workbookView xWindow="-120" yWindow="-120" windowWidth="29040" windowHeight="15990" xr2:uid="{B00E47AA-8DC5-477E-B4E8-FBC794265F6A}"/>
  </bookViews>
  <sheets>
    <sheet name="Daily_table" sheetId="1" r:id="rId1"/>
    <sheet name="Test_Count" sheetId="6" r:id="rId2"/>
    <sheet name="ReferBy-Table" sheetId="5" r:id="rId3"/>
    <sheet name="Price_Master" sheetId="3" r:id="rId4"/>
  </sheets>
  <definedNames>
    <definedName name="_xlcn.WorksheetConnection_TMD202601.xlsxTable2" hidden="1">Daily_table!$A$1:$I$2</definedName>
    <definedName name="_xlcn.WorksheetConnection_TMD202601.xlsxtblPrice" hidden="1">tblPrice[]</definedName>
  </definedNames>
  <calcPr calcId="191029"/>
  <pivotCaches>
    <pivotCache cacheId="11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Price" name="tblPrice" connection="WorksheetConnection_TMD 2026-01.xlsx!tblPrice"/>
          <x15:modelTable id="Table2" name="Table2" connection="WorksheetConnection_TMD 2026-01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9" i="1" l="1"/>
  <c r="I129" i="1" s="1"/>
  <c r="H129" i="1"/>
  <c r="G128" i="1"/>
  <c r="H128" i="1"/>
  <c r="G127" i="1"/>
  <c r="I127" i="1" s="1"/>
  <c r="H127" i="1"/>
  <c r="G126" i="1"/>
  <c r="H126" i="1"/>
  <c r="G125" i="1"/>
  <c r="I125" i="1" s="1"/>
  <c r="H125" i="1"/>
  <c r="G124" i="1"/>
  <c r="H124" i="1"/>
  <c r="G123" i="1"/>
  <c r="H123" i="1"/>
  <c r="I123" i="1"/>
  <c r="G122" i="1"/>
  <c r="H122" i="1"/>
  <c r="G121" i="1"/>
  <c r="H121" i="1"/>
  <c r="G120" i="1"/>
  <c r="H120" i="1"/>
  <c r="G119" i="1"/>
  <c r="H119" i="1"/>
  <c r="G118" i="1"/>
  <c r="H118" i="1"/>
  <c r="G117" i="1"/>
  <c r="H117" i="1"/>
  <c r="G116" i="1"/>
  <c r="I116" i="1" s="1"/>
  <c r="H116" i="1"/>
  <c r="G115" i="1"/>
  <c r="H115" i="1"/>
  <c r="G114" i="1"/>
  <c r="H114" i="1"/>
  <c r="G113" i="1"/>
  <c r="H113" i="1"/>
  <c r="G112" i="1"/>
  <c r="H112" i="1"/>
  <c r="G111" i="1"/>
  <c r="H111" i="1"/>
  <c r="G110" i="1"/>
  <c r="I110" i="1" s="1"/>
  <c r="H110" i="1"/>
  <c r="G109" i="1"/>
  <c r="H109" i="1"/>
  <c r="G108" i="1"/>
  <c r="I108" i="1" s="1"/>
  <c r="H108" i="1"/>
  <c r="G107" i="1"/>
  <c r="I107" i="1" s="1"/>
  <c r="H107" i="1"/>
  <c r="G106" i="1"/>
  <c r="H106" i="1"/>
  <c r="G105" i="1"/>
  <c r="I105" i="1" s="1"/>
  <c r="H105" i="1"/>
  <c r="G104" i="1"/>
  <c r="H104" i="1"/>
  <c r="G103" i="1"/>
  <c r="H103" i="1"/>
  <c r="G102" i="1"/>
  <c r="H102" i="1"/>
  <c r="G101" i="1"/>
  <c r="I101" i="1" s="1"/>
  <c r="H101" i="1"/>
  <c r="G100" i="1"/>
  <c r="H100" i="1"/>
  <c r="G99" i="1"/>
  <c r="H99" i="1"/>
  <c r="G98" i="1"/>
  <c r="I98" i="1" s="1"/>
  <c r="H98" i="1"/>
  <c r="G97" i="1"/>
  <c r="H97" i="1"/>
  <c r="G96" i="1"/>
  <c r="H96" i="1"/>
  <c r="G95" i="1"/>
  <c r="H95" i="1"/>
  <c r="I95" i="1"/>
  <c r="G94" i="1"/>
  <c r="H94" i="1"/>
  <c r="G93" i="1"/>
  <c r="H93" i="1"/>
  <c r="G92" i="1"/>
  <c r="I92" i="1" s="1"/>
  <c r="H92" i="1"/>
  <c r="G91" i="1"/>
  <c r="I91" i="1" s="1"/>
  <c r="H91" i="1"/>
  <c r="G90" i="1"/>
  <c r="H90" i="1"/>
  <c r="G89" i="1"/>
  <c r="H89" i="1"/>
  <c r="G88" i="1"/>
  <c r="I88" i="1" s="1"/>
  <c r="H88" i="1"/>
  <c r="G87" i="1"/>
  <c r="H87" i="1"/>
  <c r="G86" i="1"/>
  <c r="I86" i="1" s="1"/>
  <c r="H86" i="1"/>
  <c r="G85" i="1"/>
  <c r="I85" i="1" s="1"/>
  <c r="H85" i="1"/>
  <c r="G84" i="1"/>
  <c r="H84" i="1"/>
  <c r="G83" i="1"/>
  <c r="I83" i="1" s="1"/>
  <c r="H83" i="1"/>
  <c r="G82" i="1"/>
  <c r="H82" i="1"/>
  <c r="G81" i="1"/>
  <c r="H81" i="1"/>
  <c r="I81" i="1"/>
  <c r="G80" i="1"/>
  <c r="I80" i="1" s="1"/>
  <c r="H80" i="1"/>
  <c r="G79" i="1"/>
  <c r="H79" i="1"/>
  <c r="G78" i="1"/>
  <c r="H78" i="1"/>
  <c r="I78" i="1" s="1"/>
  <c r="G77" i="1"/>
  <c r="I77" i="1" s="1"/>
  <c r="H77" i="1"/>
  <c r="G76" i="1"/>
  <c r="I76" i="1" s="1"/>
  <c r="H76" i="1"/>
  <c r="G75" i="1"/>
  <c r="H75" i="1"/>
  <c r="G74" i="1"/>
  <c r="I74" i="1" s="1"/>
  <c r="H74" i="1"/>
  <c r="G73" i="1"/>
  <c r="H73" i="1"/>
  <c r="G72" i="1"/>
  <c r="H72" i="1"/>
  <c r="I72" i="1"/>
  <c r="G71" i="1"/>
  <c r="H71" i="1"/>
  <c r="G70" i="1"/>
  <c r="H70" i="1"/>
  <c r="G69" i="1"/>
  <c r="H69" i="1"/>
  <c r="G68" i="1"/>
  <c r="I68" i="1" s="1"/>
  <c r="H68" i="1"/>
  <c r="G67" i="1"/>
  <c r="I67" i="1" s="1"/>
  <c r="H67" i="1"/>
  <c r="G66" i="1"/>
  <c r="H66" i="1"/>
  <c r="G65" i="1"/>
  <c r="I65" i="1" s="1"/>
  <c r="H65" i="1"/>
  <c r="G64" i="1"/>
  <c r="H64" i="1"/>
  <c r="G63" i="1"/>
  <c r="H63" i="1"/>
  <c r="G62" i="1"/>
  <c r="H62" i="1"/>
  <c r="G61" i="1"/>
  <c r="H61" i="1"/>
  <c r="G60" i="1"/>
  <c r="H60" i="1"/>
  <c r="G59" i="1"/>
  <c r="H59" i="1"/>
  <c r="G58" i="1"/>
  <c r="H58" i="1"/>
  <c r="G57" i="1"/>
  <c r="H57" i="1"/>
  <c r="I57" i="1"/>
  <c r="G56" i="1"/>
  <c r="H56" i="1"/>
  <c r="G55" i="1"/>
  <c r="I55" i="1" s="1"/>
  <c r="H55" i="1"/>
  <c r="G54" i="1"/>
  <c r="H54" i="1"/>
  <c r="G53" i="1"/>
  <c r="H53" i="1"/>
  <c r="I53" i="1"/>
  <c r="G52" i="1"/>
  <c r="H52" i="1"/>
  <c r="G51" i="1"/>
  <c r="I51" i="1" s="1"/>
  <c r="H51" i="1"/>
  <c r="G50" i="1"/>
  <c r="H50" i="1"/>
  <c r="G49" i="1"/>
  <c r="H49" i="1"/>
  <c r="G48" i="1"/>
  <c r="H48" i="1"/>
  <c r="G47" i="1"/>
  <c r="I47" i="1" s="1"/>
  <c r="H47" i="1"/>
  <c r="G46" i="1"/>
  <c r="H46" i="1"/>
  <c r="G45" i="1"/>
  <c r="I45" i="1" s="1"/>
  <c r="H45" i="1"/>
  <c r="G44" i="1"/>
  <c r="H44" i="1"/>
  <c r="G43" i="1"/>
  <c r="H43" i="1"/>
  <c r="G42" i="1"/>
  <c r="I42" i="1" s="1"/>
  <c r="H42" i="1"/>
  <c r="G41" i="1"/>
  <c r="I41" i="1" s="1"/>
  <c r="H41" i="1"/>
  <c r="G40" i="1"/>
  <c r="I40" i="1" s="1"/>
  <c r="H40" i="1"/>
  <c r="G39" i="1"/>
  <c r="I39" i="1" s="1"/>
  <c r="H39" i="1"/>
  <c r="G38" i="1"/>
  <c r="I38" i="1" s="1"/>
  <c r="H38" i="1"/>
  <c r="G37" i="1"/>
  <c r="H37" i="1"/>
  <c r="G36" i="1"/>
  <c r="I36" i="1" s="1"/>
  <c r="H36" i="1"/>
  <c r="G35" i="1"/>
  <c r="I35" i="1" s="1"/>
  <c r="H35" i="1"/>
  <c r="G34" i="1"/>
  <c r="H34" i="1"/>
  <c r="G33" i="1"/>
  <c r="I33" i="1" s="1"/>
  <c r="H33" i="1"/>
  <c r="G32" i="1"/>
  <c r="H32" i="1"/>
  <c r="G31" i="1"/>
  <c r="I31" i="1" s="1"/>
  <c r="H31" i="1"/>
  <c r="G30" i="1"/>
  <c r="I30" i="1" s="1"/>
  <c r="H30" i="1"/>
  <c r="G29" i="1"/>
  <c r="I29" i="1" s="1"/>
  <c r="H29" i="1"/>
  <c r="G28" i="1"/>
  <c r="I28" i="1" s="1"/>
  <c r="H28" i="1"/>
  <c r="G27" i="1"/>
  <c r="H27" i="1"/>
  <c r="G26" i="1"/>
  <c r="H26" i="1"/>
  <c r="G25" i="1"/>
  <c r="I25" i="1" s="1"/>
  <c r="H25" i="1"/>
  <c r="G24" i="1"/>
  <c r="I24" i="1" s="1"/>
  <c r="H24" i="1"/>
  <c r="G23" i="1"/>
  <c r="H23" i="1"/>
  <c r="G22" i="1"/>
  <c r="I22" i="1" s="1"/>
  <c r="H22" i="1"/>
  <c r="G21" i="1"/>
  <c r="H21" i="1"/>
  <c r="G20" i="1"/>
  <c r="H20" i="1"/>
  <c r="G19" i="1"/>
  <c r="H19" i="1"/>
  <c r="G18" i="1"/>
  <c r="I18" i="1" s="1"/>
  <c r="H18" i="1"/>
  <c r="G17" i="1"/>
  <c r="H17" i="1"/>
  <c r="G16" i="1"/>
  <c r="H16" i="1"/>
  <c r="G15" i="1"/>
  <c r="H15" i="1"/>
  <c r="G14" i="1"/>
  <c r="I14" i="1" s="1"/>
  <c r="H14" i="1"/>
  <c r="G13" i="1"/>
  <c r="I13" i="1" s="1"/>
  <c r="H13" i="1"/>
  <c r="G12" i="1"/>
  <c r="I12" i="1" s="1"/>
  <c r="H12" i="1"/>
  <c r="G11" i="1"/>
  <c r="H11" i="1"/>
  <c r="G10" i="1"/>
  <c r="H10" i="1"/>
  <c r="G9" i="1"/>
  <c r="H9" i="1"/>
  <c r="G8" i="1"/>
  <c r="I8" i="1" s="1"/>
  <c r="H8" i="1"/>
  <c r="G7" i="1"/>
  <c r="I7" i="1" s="1"/>
  <c r="H7" i="1"/>
  <c r="G6" i="1"/>
  <c r="H6" i="1"/>
  <c r="G5" i="1"/>
  <c r="H5" i="1"/>
  <c r="G4" i="1"/>
  <c r="H4" i="1"/>
  <c r="G3" i="1"/>
  <c r="I3" i="1" s="1"/>
  <c r="H3" i="1"/>
  <c r="G2" i="1"/>
  <c r="H2" i="1"/>
  <c r="L1" i="1" l="1"/>
  <c r="I128" i="1"/>
  <c r="I126" i="1"/>
  <c r="I124" i="1"/>
  <c r="I122" i="1"/>
  <c r="I121" i="1"/>
  <c r="I120" i="1"/>
  <c r="I119" i="1"/>
  <c r="I118" i="1"/>
  <c r="I117" i="1"/>
  <c r="I115" i="1"/>
  <c r="I114" i="1"/>
  <c r="I113" i="1"/>
  <c r="I112" i="1"/>
  <c r="I111" i="1"/>
  <c r="I109" i="1"/>
  <c r="I106" i="1"/>
  <c r="I104" i="1"/>
  <c r="I103" i="1"/>
  <c r="I102" i="1"/>
  <c r="I100" i="1"/>
  <c r="I99" i="1"/>
  <c r="I97" i="1"/>
  <c r="I96" i="1"/>
  <c r="I94" i="1"/>
  <c r="I93" i="1"/>
  <c r="I90" i="1"/>
  <c r="I89" i="1"/>
  <c r="I87" i="1"/>
  <c r="I84" i="1"/>
  <c r="I82" i="1"/>
  <c r="I79" i="1"/>
  <c r="I75" i="1"/>
  <c r="I73" i="1"/>
  <c r="I71" i="1"/>
  <c r="I70" i="1"/>
  <c r="I69" i="1"/>
  <c r="I66" i="1"/>
  <c r="I64" i="1"/>
  <c r="I63" i="1"/>
  <c r="I62" i="1"/>
  <c r="I61" i="1"/>
  <c r="I60" i="1"/>
  <c r="I59" i="1"/>
  <c r="I58" i="1"/>
  <c r="I56" i="1"/>
  <c r="I54" i="1"/>
  <c r="I52" i="1"/>
  <c r="I50" i="1"/>
  <c r="I49" i="1"/>
  <c r="I48" i="1"/>
  <c r="I46" i="1"/>
  <c r="I44" i="1"/>
  <c r="I43" i="1"/>
  <c r="I37" i="1"/>
  <c r="I34" i="1"/>
  <c r="I32" i="1"/>
  <c r="I27" i="1"/>
  <c r="I26" i="1"/>
  <c r="I23" i="1"/>
  <c r="I21" i="1"/>
  <c r="I20" i="1"/>
  <c r="I19" i="1"/>
  <c r="I17" i="1"/>
  <c r="I16" i="1"/>
  <c r="I15" i="1"/>
  <c r="I11" i="1"/>
  <c r="I10" i="1"/>
  <c r="I9" i="1"/>
  <c r="I6" i="1"/>
  <c r="I5" i="1"/>
  <c r="I4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CC9A03-AB08-43C8-ABA3-FBD0051DAF73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2" xr16:uid="{C2742EB6-3979-463B-9F21-FC5433003E3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BB145656-C7AF-4E4B-B62A-3E91B7199076}" name="WorksheetConnection_TMD 2026-01.xlsx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TMD202601.xlsxTable2"/>
        </x15:connection>
      </ext>
    </extLst>
  </connection>
  <connection id="4" xr16:uid="{6FCD8702-1112-42E3-A8E5-A98036C944A0}" name="WorksheetConnection_TMD 2026-01.xlsx!tblPrice" type="102" refreshedVersion="8" minRefreshableVersion="5">
    <extLst>
      <ext xmlns:x15="http://schemas.microsoft.com/office/spreadsheetml/2010/11/main" uri="{DE250136-89BD-433C-8126-D09CA5730AF9}">
        <x15:connection id="tblPrice">
          <x15:rangePr sourceName="_xlcn.WorksheetConnection_TMD202601.xlsxtblPrice"/>
        </x15:connection>
      </ext>
    </extLst>
  </connection>
</connections>
</file>

<file path=xl/sharedStrings.xml><?xml version="1.0" encoding="utf-8"?>
<sst xmlns="http://schemas.openxmlformats.org/spreadsheetml/2006/main" count="525" uniqueCount="178">
  <si>
    <t>Date</t>
  </si>
  <si>
    <t>Name</t>
  </si>
  <si>
    <t>Age</t>
  </si>
  <si>
    <t>Gender</t>
  </si>
  <si>
    <t>Refer By</t>
  </si>
  <si>
    <t>Test</t>
  </si>
  <si>
    <t>Price</t>
  </si>
  <si>
    <t>CP(A)</t>
  </si>
  <si>
    <t>URE</t>
  </si>
  <si>
    <t>HbA1c</t>
  </si>
  <si>
    <t>U/A</t>
  </si>
  <si>
    <t>Lipid</t>
  </si>
  <si>
    <t>Grand Total</t>
  </si>
  <si>
    <t>ESR</t>
  </si>
  <si>
    <t>G&amp;M</t>
  </si>
  <si>
    <t>E lytes</t>
  </si>
  <si>
    <t>UCG</t>
  </si>
  <si>
    <t>Stool RE</t>
  </si>
  <si>
    <t>Dengue Duo</t>
  </si>
  <si>
    <t>H-Pylori Ag</t>
  </si>
  <si>
    <t>H-Pylori Ab</t>
  </si>
  <si>
    <t>HIV</t>
  </si>
  <si>
    <t>HCV</t>
  </si>
  <si>
    <t>HBV</t>
  </si>
  <si>
    <t>VDRL</t>
  </si>
  <si>
    <t>Widal</t>
  </si>
  <si>
    <t>Gamma GT</t>
  </si>
  <si>
    <t>Inorganic Phosphate</t>
  </si>
  <si>
    <t>TC</t>
  </si>
  <si>
    <t>TG</t>
  </si>
  <si>
    <t>HDL</t>
  </si>
  <si>
    <t>LDL</t>
  </si>
  <si>
    <t>LDH</t>
  </si>
  <si>
    <t>T&amp;DP</t>
  </si>
  <si>
    <t>TP</t>
  </si>
  <si>
    <t>Alb</t>
  </si>
  <si>
    <t>Glb</t>
  </si>
  <si>
    <t>LFT</t>
  </si>
  <si>
    <t>TB</t>
  </si>
  <si>
    <t>ALP</t>
  </si>
  <si>
    <t>GPT</t>
  </si>
  <si>
    <t>Amy</t>
  </si>
  <si>
    <t>FT3</t>
  </si>
  <si>
    <t>FT4</t>
  </si>
  <si>
    <t>TSH</t>
  </si>
  <si>
    <t>CRP (Quali)</t>
  </si>
  <si>
    <t>ASO (Quali)</t>
  </si>
  <si>
    <t>ASO (Quanti)</t>
  </si>
  <si>
    <t>PT/INR</t>
  </si>
  <si>
    <t>Creat</t>
  </si>
  <si>
    <t>HBsAg</t>
  </si>
  <si>
    <t>HAV</t>
  </si>
  <si>
    <t>G&amp;M Rh</t>
  </si>
  <si>
    <t>RA (Quali)</t>
  </si>
  <si>
    <t>Fee %</t>
  </si>
  <si>
    <t>Refer Fee %</t>
  </si>
  <si>
    <t>Ur</t>
  </si>
  <si>
    <t>MP (ICT)</t>
  </si>
  <si>
    <t>MP (Film)</t>
  </si>
  <si>
    <t>RBS</t>
  </si>
  <si>
    <t>CRP</t>
  </si>
  <si>
    <t>Refer Fee Amount</t>
  </si>
  <si>
    <t>Plt Count</t>
  </si>
  <si>
    <t>PCV</t>
  </si>
  <si>
    <t>G6PD</t>
  </si>
  <si>
    <t>D-Dimer</t>
  </si>
  <si>
    <t>Ca</t>
  </si>
  <si>
    <t>TB (ICT)</t>
  </si>
  <si>
    <t>Sputum AFB</t>
  </si>
  <si>
    <t>Semen Analysis</t>
  </si>
  <si>
    <t>Beta HCG</t>
  </si>
  <si>
    <t>AFP</t>
  </si>
  <si>
    <t>FPSA</t>
  </si>
  <si>
    <t>Urine Alb</t>
  </si>
  <si>
    <t>Test Name</t>
  </si>
  <si>
    <t>(All)</t>
  </si>
  <si>
    <t>Refer Names</t>
  </si>
  <si>
    <t>Total Refer Fee Amount</t>
  </si>
  <si>
    <t>Test Count</t>
  </si>
  <si>
    <t>Trop-T</t>
  </si>
  <si>
    <t>Total=</t>
  </si>
  <si>
    <t>Urine Analysis</t>
  </si>
  <si>
    <t>Self</t>
  </si>
  <si>
    <t>Syphilis RDT</t>
  </si>
  <si>
    <t>Ko Latt</t>
  </si>
  <si>
    <t>22 yrs</t>
  </si>
  <si>
    <t>M</t>
  </si>
  <si>
    <t>Mg Sai Zay Bhone Latt</t>
  </si>
  <si>
    <t>8 6/12 yrs</t>
  </si>
  <si>
    <t>NMMN</t>
  </si>
  <si>
    <t>Ma Arr Khu</t>
  </si>
  <si>
    <t>25 yrs</t>
  </si>
  <si>
    <t>F</t>
  </si>
  <si>
    <t>Ma Phoo Sone</t>
  </si>
  <si>
    <t>Ma Thwal Thwal</t>
  </si>
  <si>
    <t>20 yrs</t>
  </si>
  <si>
    <t>Mg Phyo Khant Kyaw</t>
  </si>
  <si>
    <t>8/12 yrs</t>
  </si>
  <si>
    <t>မေတ္တာဆေးခန်း</t>
  </si>
  <si>
    <t>Mg Thein Min Thu</t>
  </si>
  <si>
    <t>Ma Jar Sai Buu</t>
  </si>
  <si>
    <t>18 yrs</t>
  </si>
  <si>
    <t>Ko Chan Aye</t>
  </si>
  <si>
    <t>31 yrs</t>
  </si>
  <si>
    <t>TK</t>
  </si>
  <si>
    <t>Ma Ya Min</t>
  </si>
  <si>
    <t>26 yrs</t>
  </si>
  <si>
    <t>OG</t>
  </si>
  <si>
    <t>Mg Oakar Zwal</t>
  </si>
  <si>
    <t>2 yrs</t>
  </si>
  <si>
    <t>Ko Kyaw Min</t>
  </si>
  <si>
    <t>40 yrs</t>
  </si>
  <si>
    <t>Ko Aung Kyaw Soe</t>
  </si>
  <si>
    <t>Ko Zaw Khan</t>
  </si>
  <si>
    <t>33 yrs</t>
  </si>
  <si>
    <t>ဂရုဏာဆေးခန်း</t>
  </si>
  <si>
    <t>Ko Win Zaw Oo</t>
  </si>
  <si>
    <t>TZA</t>
  </si>
  <si>
    <t>Ko Gam Aung</t>
  </si>
  <si>
    <t>35 yrs</t>
  </si>
  <si>
    <t>BBH</t>
  </si>
  <si>
    <t>Daw Lae Lae Win</t>
  </si>
  <si>
    <t>45 yrs</t>
  </si>
  <si>
    <t>Phy</t>
  </si>
  <si>
    <t>U Hla Kyi</t>
  </si>
  <si>
    <t>73 yrs</t>
  </si>
  <si>
    <t>Ko Myo Min Latt</t>
  </si>
  <si>
    <t>28 yrs</t>
  </si>
  <si>
    <t>MCLH</t>
  </si>
  <si>
    <t>Ko Bauk Htoi San</t>
  </si>
  <si>
    <t>27 yrs</t>
  </si>
  <si>
    <t>U Kyaw Naing</t>
  </si>
  <si>
    <t>61 yrs</t>
  </si>
  <si>
    <t>Ko La Ring</t>
  </si>
  <si>
    <t>B' Su Mon Aung</t>
  </si>
  <si>
    <t>7/365 yrs</t>
  </si>
  <si>
    <t>Ma Hnin Wai Aung</t>
  </si>
  <si>
    <t>ANM</t>
  </si>
  <si>
    <t>Mg Phyo Thant Paing</t>
  </si>
  <si>
    <t>Mg Swan Pyae Sone Tun</t>
  </si>
  <si>
    <t>Ko Kyaw Khaing</t>
  </si>
  <si>
    <t>Mg Ar Kar</t>
  </si>
  <si>
    <t>23 yrs</t>
  </si>
  <si>
    <t>Pyi Kyaw</t>
  </si>
  <si>
    <t>Mg Paing Phyo Kyaw</t>
  </si>
  <si>
    <t>5 7/12 yrs</t>
  </si>
  <si>
    <t>Daw Nann</t>
  </si>
  <si>
    <t>56 yrs</t>
  </si>
  <si>
    <t>Ma Gwar See Nyi</t>
  </si>
  <si>
    <t>21 yrs</t>
  </si>
  <si>
    <t>Mg Okkar Zwal</t>
  </si>
  <si>
    <t>Mg ThuYa Oo</t>
  </si>
  <si>
    <t>2 3/12 yrs</t>
  </si>
  <si>
    <t>Mg Zaw Dan Naw</t>
  </si>
  <si>
    <t>2/12 yrs</t>
  </si>
  <si>
    <t>U Gwan Jar Naw</t>
  </si>
  <si>
    <t>67 yrs</t>
  </si>
  <si>
    <t>HbA1C</t>
  </si>
  <si>
    <t>Ma Nan Thazin Khaing</t>
  </si>
  <si>
    <t>Ma Sann Oo</t>
  </si>
  <si>
    <t>30 yrs</t>
  </si>
  <si>
    <t>Ko Sut La Aung</t>
  </si>
  <si>
    <t>Ma Hnin Kyi</t>
  </si>
  <si>
    <t>32 yrs</t>
  </si>
  <si>
    <t>Mg Lote Zone</t>
  </si>
  <si>
    <t>4/12 yrs</t>
  </si>
  <si>
    <t>Daw San Taung</t>
  </si>
  <si>
    <t>36 yrs</t>
  </si>
  <si>
    <t>U Sai Lone</t>
  </si>
  <si>
    <t>51 yrs</t>
  </si>
  <si>
    <t>U Sein Aung</t>
  </si>
  <si>
    <t>78 yrs</t>
  </si>
  <si>
    <t>U La Aung</t>
  </si>
  <si>
    <t>59 yrs</t>
  </si>
  <si>
    <t>Mg Mone Dan Aung</t>
  </si>
  <si>
    <t>7 yrs</t>
  </si>
  <si>
    <t>Ma Lu Aung</t>
  </si>
  <si>
    <t>Hb%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</si>
</sst>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1">
    <xf numFmtId="0" fontId="0" fillId="0" borderId="0" xfId="0"/>
    <xf numFmtId="3" fontId="0" fillId="0" borderId="0" xfId="0" applyNumberFormat="1"/>
    <xf numFmtId="49" fontId="0" fillId="0" borderId="0" xfId="0" applyNumberFormat="1"/>
    <xf numFmtId="9" fontId="0" fillId="0" borderId="0" xfId="0" applyNumberFormat="1"/>
    <xf numFmtId="0" fontId="0" fillId="0" borderId="1" xfId="0" applyBorder="1" applyAlignment="1">
      <alignment horizontal="left"/>
    </xf>
    <xf numFmtId="0" fontId="0" fillId="0" borderId="4" xfId="0" pivotButton="1" applyBorder="1"/>
    <xf numFmtId="0" fontId="0" fillId="0" borderId="3" xfId="0" applyBorder="1"/>
    <xf numFmtId="0" fontId="1" fillId="0" borderId="1" xfId="0" pivotButton="1" applyFont="1" applyBorder="1"/>
    <xf numFmtId="0" fontId="1" fillId="0" borderId="1" xfId="0" applyFont="1" applyBorder="1"/>
    <xf numFmtId="49" fontId="1" fillId="3" borderId="6" xfId="0" applyNumberFormat="1" applyFont="1" applyFill="1" applyBorder="1" applyAlignment="1">
      <alignment horizontal="center" vertical="center"/>
    </xf>
    <xf numFmtId="3" fontId="0" fillId="0" borderId="5" xfId="0" applyNumberFormat="1" applyBorder="1"/>
    <xf numFmtId="3" fontId="0" fillId="0" borderId="2" xfId="0" applyNumberFormat="1" applyBorder="1"/>
    <xf numFmtId="14" fontId="0" fillId="0" borderId="0" xfId="0" applyNumberFormat="1"/>
    <xf numFmtId="49" fontId="1" fillId="4" borderId="8" xfId="0" applyNumberFormat="1" applyFont="1" applyFill="1" applyBorder="1"/>
    <xf numFmtId="3" fontId="1" fillId="4" borderId="8" xfId="0" applyNumberFormat="1" applyFont="1" applyFill="1" applyBorder="1"/>
    <xf numFmtId="9" fontId="1" fillId="4" borderId="8" xfId="0" applyNumberFormat="1" applyFont="1" applyFill="1" applyBorder="1"/>
    <xf numFmtId="14" fontId="1" fillId="4" borderId="9" xfId="0" applyNumberFormat="1" applyFont="1" applyFill="1" applyBorder="1"/>
    <xf numFmtId="14" fontId="3" fillId="2" borderId="0" xfId="0" applyNumberFormat="1" applyFont="1" applyFill="1"/>
    <xf numFmtId="49" fontId="3" fillId="2" borderId="10" xfId="0" applyNumberFormat="1" applyFont="1" applyFill="1" applyBorder="1"/>
    <xf numFmtId="3" fontId="3" fillId="2" borderId="10" xfId="0" applyNumberFormat="1" applyFont="1" applyFill="1" applyBorder="1"/>
    <xf numFmtId="9" fontId="3" fillId="2" borderId="10" xfId="0" applyNumberFormat="1" applyFont="1" applyFill="1" applyBorder="1"/>
    <xf numFmtId="3" fontId="0" fillId="3" borderId="7" xfId="1" applyNumberFormat="1" applyFont="1" applyFill="1" applyBorder="1" applyAlignment="1">
      <alignment horizontal="center" vertical="center"/>
    </xf>
    <xf numFmtId="14" fontId="1" fillId="0" borderId="9" xfId="0" applyNumberFormat="1" applyFont="1" applyBorder="1"/>
    <xf numFmtId="49" fontId="1" fillId="0" borderId="8" xfId="0" applyNumberFormat="1" applyFont="1" applyBorder="1"/>
    <xf numFmtId="3" fontId="1" fillId="0" borderId="8" xfId="0" applyNumberFormat="1" applyFont="1" applyBorder="1"/>
    <xf numFmtId="9" fontId="1" fillId="0" borderId="8" xfId="0" applyNumberFormat="1" applyFont="1" applyBorder="1"/>
    <xf numFmtId="3" fontId="0" fillId="0" borderId="11" xfId="0" applyNumberFormat="1" applyBorder="1"/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NumberFormat="1" applyBorder="1"/>
  </cellXfs>
  <cellStyles count="2">
    <cellStyle name="Comma" xfId="1" builtinId="3"/>
    <cellStyle name="Normal" xfId="0" builtinId="0"/>
  </cellStyles>
  <dxfs count="5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4"/>
      </font>
    </dxf>
    <dxf>
      <numFmt numFmtId="13" formatCode="0%"/>
    </dxf>
    <dxf>
      <numFmt numFmtId="3" formatCode="#,##0"/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" formatCode="#,##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3" formatCode="0%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9" formatCode="yyyy/mm/dd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theme="8" tint="0.39997558519241921"/>
        </left>
        <right style="thin">
          <color indexed="64"/>
        </right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mers" refreshedDate="46135.556798958336" createdVersion="8" refreshedVersion="8" minRefreshableVersion="3" recordCount="128" xr:uid="{278E013D-1B38-4C02-80D6-610CDE781871}">
  <cacheSource type="worksheet">
    <worksheetSource ref="A1:I129" sheet="Daily_table"/>
  </cacheSource>
  <cacheFields count="9">
    <cacheField name="Date" numFmtId="14">
      <sharedItems containsNonDate="0" containsDate="1" containsString="0" containsBlank="1" minDate="2026-04-01T00:00:00" maxDate="2026-04-23T00:00:00"/>
    </cacheField>
    <cacheField name="Name" numFmtId="49">
      <sharedItems containsBlank="1"/>
    </cacheField>
    <cacheField name="Age" numFmtId="49">
      <sharedItems containsBlank="1"/>
    </cacheField>
    <cacheField name="Gender" numFmtId="49">
      <sharedItems containsBlank="1"/>
    </cacheField>
    <cacheField name="Refer By" numFmtId="49">
      <sharedItems containsBlank="1" count="20">
        <s v="Self"/>
        <s v="NMMN"/>
        <s v="မေတ္တာဆေးခန်း"/>
        <s v="TK"/>
        <s v="OG"/>
        <s v="ဂရုဏာဆေးခန်း"/>
        <s v="TZA"/>
        <s v="BBH"/>
        <s v="Phy"/>
        <s v="MCLH"/>
        <s v="ANM"/>
        <s v="Pyi Kyaw"/>
        <s v="Phoe Khin" u="1"/>
        <s v="Grace" u="1"/>
        <s v="AMH" u="1"/>
        <m u="1"/>
        <s v="TLH" u="1"/>
        <s v="Surg" u="1"/>
        <s v="MC" u="1"/>
        <s v="မိသားစုဆေးခန်း" u="1"/>
      </sharedItems>
    </cacheField>
    <cacheField name="Test" numFmtId="49">
      <sharedItems count="46">
        <s v="G&amp;M"/>
        <s v="CP(A)"/>
        <s v="MP (ICT)"/>
        <s v="MP (Film)"/>
        <s v="CRP"/>
        <s v="E lytes"/>
        <s v="Creat"/>
        <s v="LFT"/>
        <s v="HBsAg"/>
        <s v="HCV"/>
        <s v="HIV"/>
        <s v="Syphilis RDT"/>
        <s v="URE"/>
        <s v="Stool RE"/>
        <s v="H-Pylori Ag"/>
        <s v="U/A"/>
        <s v="ASO (Quanti)"/>
        <s v="RA (Quali)"/>
        <s v="HbA1c"/>
        <s v="Ur"/>
        <s v="Lipid"/>
        <s v="ESR"/>
        <s v="FPSA"/>
        <s v="TB"/>
        <s v="TSH"/>
        <s v="FT4"/>
        <s v="Dengue Duo"/>
        <s v="Hb%"/>
        <s v="G&amp;M Rh"/>
        <s v="PSA" u="1"/>
        <s v="Urine Analysis" u="1"/>
        <s v="Trop-T" u="1"/>
        <s v="VDRL" u="1"/>
        <s v="T&amp;DP" u="1"/>
        <s v="H-Pylori Ab" u="1"/>
        <s v="FT3" u="1"/>
        <s v="Widal" u="1"/>
        <s v="AFP" u="1"/>
        <s v="PT/INR" u="1"/>
        <s v="HBV" u="1"/>
        <s v="ASO (Quali)" u="1"/>
        <s v="TFT" u="1"/>
        <s v="HAV" u="1"/>
        <s v="G6PD" u="1"/>
        <s v="Sputum AFB" u="1"/>
        <s v="Urine Alb" u="1"/>
      </sharedItems>
    </cacheField>
    <cacheField name="Price" numFmtId="3">
      <sharedItems containsMixedTypes="1" containsNumber="1" containsInteger="1" minValue="7000" maxValue="36000"/>
    </cacheField>
    <cacheField name="Refer Fee %" numFmtId="9">
      <sharedItems containsSemiMixedTypes="0" containsString="0" containsNumber="1" minValue="0" maxValue="0.15"/>
    </cacheField>
    <cacheField name="Refer Fee Amount" numFmtId="3">
      <sharedItems containsMixedTypes="1" containsNumber="1" containsInteger="1" minValue="0" maxValue="5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d v="2026-04-01T00:00:00"/>
    <s v="Ko Latt"/>
    <s v="22 yrs"/>
    <s v="M"/>
    <x v="0"/>
    <x v="0"/>
    <n v="7000"/>
    <n v="0.15"/>
    <n v="1050"/>
  </r>
  <r>
    <m/>
    <s v="Mg Sai Zay Bhone Latt"/>
    <s v="8 6/12 yrs"/>
    <s v="M"/>
    <x v="1"/>
    <x v="1"/>
    <n v="30000"/>
    <n v="0.15"/>
    <n v="4500"/>
  </r>
  <r>
    <m/>
    <s v="Ma Arr Khu"/>
    <s v="25 yrs"/>
    <s v="F"/>
    <x v="1"/>
    <x v="1"/>
    <n v="30000"/>
    <n v="0.15"/>
    <n v="4500"/>
  </r>
  <r>
    <m/>
    <m/>
    <m/>
    <m/>
    <x v="1"/>
    <x v="2"/>
    <n v="10000"/>
    <n v="0.05"/>
    <n v="500"/>
  </r>
  <r>
    <m/>
    <m/>
    <m/>
    <m/>
    <x v="1"/>
    <x v="3"/>
    <n v="12000"/>
    <n v="0.05"/>
    <n v="600"/>
  </r>
  <r>
    <m/>
    <m/>
    <m/>
    <m/>
    <x v="1"/>
    <x v="4"/>
    <n v="25000"/>
    <n v="0.05"/>
    <n v="1250"/>
  </r>
  <r>
    <m/>
    <m/>
    <m/>
    <m/>
    <x v="1"/>
    <x v="5"/>
    <n v="30000"/>
    <n v="0.15"/>
    <n v="4500"/>
  </r>
  <r>
    <m/>
    <m/>
    <m/>
    <m/>
    <x v="1"/>
    <x v="6"/>
    <n v="10000"/>
    <n v="0.15"/>
    <n v="1500"/>
  </r>
  <r>
    <m/>
    <m/>
    <m/>
    <m/>
    <x v="1"/>
    <x v="7"/>
    <n v="36000"/>
    <n v="0.15"/>
    <n v="5400"/>
  </r>
  <r>
    <m/>
    <s v="Ma Phoo Sone"/>
    <s v="25 yrs"/>
    <s v="F"/>
    <x v="0"/>
    <x v="8"/>
    <n v="7000"/>
    <n v="0.05"/>
    <n v="350"/>
  </r>
  <r>
    <m/>
    <m/>
    <m/>
    <m/>
    <x v="0"/>
    <x v="9"/>
    <n v="7000"/>
    <n v="0.05"/>
    <n v="350"/>
  </r>
  <r>
    <m/>
    <m/>
    <m/>
    <m/>
    <x v="0"/>
    <x v="10"/>
    <n v="10000"/>
    <n v="0.05"/>
    <n v="500"/>
  </r>
  <r>
    <m/>
    <m/>
    <m/>
    <m/>
    <x v="0"/>
    <x v="11"/>
    <n v="7000"/>
    <n v="0.05"/>
    <n v="350"/>
  </r>
  <r>
    <d v="2026-04-02T00:00:00"/>
    <s v="Ma Thwal Thwal"/>
    <s v="20 yrs"/>
    <s v="F"/>
    <x v="0"/>
    <x v="8"/>
    <n v="7000"/>
    <n v="0.05"/>
    <n v="350"/>
  </r>
  <r>
    <m/>
    <m/>
    <m/>
    <m/>
    <x v="0"/>
    <x v="9"/>
    <n v="7000"/>
    <n v="0.05"/>
    <n v="350"/>
  </r>
  <r>
    <m/>
    <m/>
    <m/>
    <m/>
    <x v="0"/>
    <x v="10"/>
    <n v="10000"/>
    <n v="0.05"/>
    <n v="500"/>
  </r>
  <r>
    <m/>
    <m/>
    <m/>
    <m/>
    <x v="0"/>
    <x v="11"/>
    <n v="7000"/>
    <n v="0.05"/>
    <n v="350"/>
  </r>
  <r>
    <m/>
    <s v="Mg Phyo Khant Kyaw"/>
    <s v="25 yrs"/>
    <s v="M"/>
    <x v="2"/>
    <x v="2"/>
    <n v="10000"/>
    <n v="0.05"/>
    <n v="500"/>
  </r>
  <r>
    <m/>
    <m/>
    <m/>
    <m/>
    <x v="2"/>
    <x v="3"/>
    <n v="12000"/>
    <n v="0.05"/>
    <n v="600"/>
  </r>
  <r>
    <m/>
    <s v="Mg Thein Min Thu"/>
    <s v="8/12 yrs"/>
    <s v="M"/>
    <x v="1"/>
    <x v="1"/>
    <n v="30000"/>
    <n v="0.15"/>
    <n v="4500"/>
  </r>
  <r>
    <m/>
    <m/>
    <m/>
    <m/>
    <x v="1"/>
    <x v="7"/>
    <n v="36000"/>
    <n v="0.15"/>
    <n v="5400"/>
  </r>
  <r>
    <m/>
    <s v="Ma Jar Sai Buu"/>
    <s v="18 yrs"/>
    <s v="F"/>
    <x v="1"/>
    <x v="8"/>
    <n v="7000"/>
    <n v="0.05"/>
    <n v="350"/>
  </r>
  <r>
    <m/>
    <m/>
    <m/>
    <m/>
    <x v="1"/>
    <x v="9"/>
    <n v="7000"/>
    <n v="0.05"/>
    <n v="350"/>
  </r>
  <r>
    <m/>
    <m/>
    <m/>
    <m/>
    <x v="1"/>
    <x v="10"/>
    <n v="10000"/>
    <n v="0.05"/>
    <n v="500"/>
  </r>
  <r>
    <m/>
    <s v="Ko Chan Aye"/>
    <s v="31 yrs"/>
    <s v="M"/>
    <x v="3"/>
    <x v="12"/>
    <n v="12000"/>
    <n v="0.05"/>
    <n v="600"/>
  </r>
  <r>
    <d v="2026-04-03T00:00:00"/>
    <s v="Ma Ya Min"/>
    <s v="26 yrs"/>
    <s v="F"/>
    <x v="4"/>
    <x v="8"/>
    <n v="7000"/>
    <n v="0.05"/>
    <n v="350"/>
  </r>
  <r>
    <m/>
    <m/>
    <m/>
    <m/>
    <x v="4"/>
    <x v="9"/>
    <n v="7000"/>
    <n v="0.05"/>
    <n v="350"/>
  </r>
  <r>
    <m/>
    <m/>
    <m/>
    <m/>
    <x v="4"/>
    <x v="10"/>
    <n v="10000"/>
    <n v="0.05"/>
    <n v="500"/>
  </r>
  <r>
    <m/>
    <m/>
    <m/>
    <m/>
    <x v="4"/>
    <x v="11"/>
    <n v="7000"/>
    <n v="0.05"/>
    <n v="350"/>
  </r>
  <r>
    <m/>
    <m/>
    <m/>
    <m/>
    <x v="4"/>
    <x v="12"/>
    <n v="12000"/>
    <n v="0.05"/>
    <n v="600"/>
  </r>
  <r>
    <m/>
    <s v="Mg Oakar Zwal"/>
    <s v="2 yrs"/>
    <s v="M"/>
    <x v="1"/>
    <x v="1"/>
    <n v="30000"/>
    <n v="0.15"/>
    <n v="4500"/>
  </r>
  <r>
    <m/>
    <m/>
    <m/>
    <m/>
    <x v="1"/>
    <x v="0"/>
    <n v="7000"/>
    <n v="0.15"/>
    <n v="1050"/>
  </r>
  <r>
    <m/>
    <m/>
    <m/>
    <m/>
    <x v="1"/>
    <x v="4"/>
    <n v="25000"/>
    <n v="0.05"/>
    <n v="1250"/>
  </r>
  <r>
    <m/>
    <m/>
    <m/>
    <m/>
    <x v="1"/>
    <x v="13"/>
    <n v="12000"/>
    <n v="0.05"/>
    <n v="600"/>
  </r>
  <r>
    <d v="2026-04-04T00:00:00"/>
    <s v="Ko Kyaw Min"/>
    <s v="40 yrs"/>
    <s v="M"/>
    <x v="0"/>
    <x v="14"/>
    <n v="15000"/>
    <n v="0.05"/>
    <n v="750"/>
  </r>
  <r>
    <m/>
    <s v="Ko Aung Kyaw Soe"/>
    <s v="26 yrs"/>
    <s v="M"/>
    <x v="0"/>
    <x v="8"/>
    <n v="7000"/>
    <n v="0.05"/>
    <n v="350"/>
  </r>
  <r>
    <m/>
    <m/>
    <m/>
    <m/>
    <x v="0"/>
    <x v="9"/>
    <n v="7000"/>
    <n v="0.05"/>
    <n v="350"/>
  </r>
  <r>
    <m/>
    <m/>
    <m/>
    <m/>
    <x v="0"/>
    <x v="10"/>
    <n v="10000"/>
    <n v="0.05"/>
    <n v="500"/>
  </r>
  <r>
    <m/>
    <m/>
    <m/>
    <m/>
    <x v="0"/>
    <x v="11"/>
    <n v="7000"/>
    <n v="0.05"/>
    <n v="350"/>
  </r>
  <r>
    <m/>
    <s v="Ko Zaw Khan"/>
    <s v="33 yrs"/>
    <s v="M"/>
    <x v="5"/>
    <x v="6"/>
    <n v="10000"/>
    <n v="0.15"/>
    <n v="1500"/>
  </r>
  <r>
    <m/>
    <m/>
    <m/>
    <m/>
    <x v="5"/>
    <x v="5"/>
    <n v="30000"/>
    <n v="0.15"/>
    <n v="4500"/>
  </r>
  <r>
    <d v="2026-04-05T00:00:00"/>
    <s v="Ko Win Zaw Oo"/>
    <s v="25 yrs"/>
    <s v="M"/>
    <x v="6"/>
    <x v="5"/>
    <n v="30000"/>
    <n v="0.15"/>
    <n v="4500"/>
  </r>
  <r>
    <m/>
    <s v="Ko Gam Aung"/>
    <s v="35 yrs"/>
    <s v="M"/>
    <x v="7"/>
    <x v="15"/>
    <n v="10000"/>
    <n v="0.15"/>
    <n v="1500"/>
  </r>
  <r>
    <m/>
    <m/>
    <m/>
    <m/>
    <x v="7"/>
    <x v="16"/>
    <n v="30000"/>
    <n v="0.05"/>
    <n v="1500"/>
  </r>
  <r>
    <m/>
    <m/>
    <m/>
    <m/>
    <x v="7"/>
    <x v="17"/>
    <n v="10000"/>
    <n v="0.05"/>
    <n v="500"/>
  </r>
  <r>
    <m/>
    <s v="Daw Lae Lae Win"/>
    <s v="45 yrs"/>
    <s v="F"/>
    <x v="8"/>
    <x v="1"/>
    <n v="30000"/>
    <n v="0.15"/>
    <n v="4500"/>
  </r>
  <r>
    <m/>
    <m/>
    <m/>
    <m/>
    <x v="8"/>
    <x v="12"/>
    <n v="12000"/>
    <n v="0.05"/>
    <n v="600"/>
  </r>
  <r>
    <m/>
    <m/>
    <m/>
    <m/>
    <x v="8"/>
    <x v="18"/>
    <n v="25000"/>
    <n v="0.05"/>
    <n v="1250"/>
  </r>
  <r>
    <m/>
    <m/>
    <m/>
    <m/>
    <x v="8"/>
    <x v="19"/>
    <n v="10000"/>
    <n v="0.15"/>
    <n v="1500"/>
  </r>
  <r>
    <m/>
    <m/>
    <m/>
    <m/>
    <x v="8"/>
    <x v="6"/>
    <n v="10000"/>
    <n v="0.15"/>
    <n v="1500"/>
  </r>
  <r>
    <m/>
    <m/>
    <m/>
    <m/>
    <x v="8"/>
    <x v="5"/>
    <n v="30000"/>
    <n v="0.15"/>
    <n v="4500"/>
  </r>
  <r>
    <m/>
    <m/>
    <m/>
    <m/>
    <x v="8"/>
    <x v="20"/>
    <n v="36000"/>
    <n v="0.15"/>
    <n v="5400"/>
  </r>
  <r>
    <d v="2026-04-07T00:00:00"/>
    <s v="U Hla Kyi"/>
    <s v="73 yrs"/>
    <s v="M"/>
    <x v="5"/>
    <x v="1"/>
    <n v="30000"/>
    <n v="0.15"/>
    <n v="4500"/>
  </r>
  <r>
    <m/>
    <m/>
    <m/>
    <m/>
    <x v="5"/>
    <x v="21"/>
    <n v="10000"/>
    <n v="0.15"/>
    <n v="1500"/>
  </r>
  <r>
    <m/>
    <m/>
    <m/>
    <m/>
    <x v="5"/>
    <x v="12"/>
    <n v="12000"/>
    <n v="0.05"/>
    <n v="600"/>
  </r>
  <r>
    <m/>
    <m/>
    <m/>
    <m/>
    <x v="5"/>
    <x v="6"/>
    <n v="10000"/>
    <n v="0.15"/>
    <n v="1500"/>
  </r>
  <r>
    <m/>
    <m/>
    <m/>
    <m/>
    <x v="5"/>
    <x v="5"/>
    <n v="30000"/>
    <n v="0.15"/>
    <n v="4500"/>
  </r>
  <r>
    <m/>
    <m/>
    <m/>
    <m/>
    <x v="5"/>
    <x v="7"/>
    <n v="36000"/>
    <n v="0.15"/>
    <n v="5400"/>
  </r>
  <r>
    <m/>
    <s v="Ko Myo Min Latt"/>
    <s v="28 yrs"/>
    <s v="M"/>
    <x v="9"/>
    <x v="1"/>
    <n v="30000"/>
    <n v="0.15"/>
    <n v="4500"/>
  </r>
  <r>
    <m/>
    <m/>
    <m/>
    <m/>
    <x v="9"/>
    <x v="10"/>
    <n v="10000"/>
    <n v="0.05"/>
    <n v="500"/>
  </r>
  <r>
    <d v="2026-04-08T00:00:00"/>
    <s v="Ko Bauk Htoi San"/>
    <s v="27 yrs"/>
    <s v="M"/>
    <x v="9"/>
    <x v="2"/>
    <n v="10000"/>
    <n v="0.05"/>
    <n v="500"/>
  </r>
  <r>
    <m/>
    <m/>
    <m/>
    <m/>
    <x v="9"/>
    <x v="3"/>
    <n v="12000"/>
    <n v="0.05"/>
    <n v="600"/>
  </r>
  <r>
    <d v="2026-04-09T00:00:00"/>
    <s v="U Kyaw Naing"/>
    <s v="61 yrs"/>
    <s v="M"/>
    <x v="8"/>
    <x v="12"/>
    <n v="12000"/>
    <n v="0.05"/>
    <n v="600"/>
  </r>
  <r>
    <m/>
    <m/>
    <m/>
    <m/>
    <x v="8"/>
    <x v="6"/>
    <n v="10000"/>
    <n v="0.15"/>
    <n v="1500"/>
  </r>
  <r>
    <m/>
    <m/>
    <m/>
    <m/>
    <x v="8"/>
    <x v="15"/>
    <n v="10000"/>
    <n v="0.15"/>
    <n v="1500"/>
  </r>
  <r>
    <m/>
    <m/>
    <m/>
    <m/>
    <x v="8"/>
    <x v="5"/>
    <n v="30000"/>
    <n v="0.15"/>
    <n v="4500"/>
  </r>
  <r>
    <m/>
    <m/>
    <m/>
    <m/>
    <x v="8"/>
    <x v="22"/>
    <n v="30000"/>
    <n v="0"/>
    <n v="0"/>
  </r>
  <r>
    <m/>
    <s v="Ko La Ring"/>
    <s v="31 yrs"/>
    <s v="M"/>
    <x v="9"/>
    <x v="12"/>
    <n v="12000"/>
    <n v="0.05"/>
    <n v="600"/>
  </r>
  <r>
    <d v="2026-04-10T00:00:00"/>
    <s v="B' Su Mon Aung"/>
    <s v="7/365 yrs"/>
    <s v="M"/>
    <x v="1"/>
    <x v="23"/>
    <n v="10000"/>
    <n v="0.15"/>
    <n v="1500"/>
  </r>
  <r>
    <m/>
    <m/>
    <m/>
    <m/>
    <x v="1"/>
    <x v="24"/>
    <n v="25000"/>
    <n v="0.05"/>
    <n v="1250"/>
  </r>
  <r>
    <m/>
    <m/>
    <m/>
    <m/>
    <x v="1"/>
    <x v="25"/>
    <n v="20000"/>
    <n v="0.05"/>
    <n v="1000"/>
  </r>
  <r>
    <m/>
    <s v="Ma Hnin Wai Aung"/>
    <s v="25 yrs"/>
    <s v="F"/>
    <x v="10"/>
    <x v="12"/>
    <n v="12000"/>
    <n v="0.05"/>
    <n v="600"/>
  </r>
  <r>
    <d v="2026-04-12T00:00:00"/>
    <s v="Mg Phyo Thant Paing"/>
    <s v="8/12 yrs"/>
    <s v="M"/>
    <x v="1"/>
    <x v="5"/>
    <n v="30000"/>
    <n v="0.15"/>
    <n v="4500"/>
  </r>
  <r>
    <m/>
    <s v="Mg Swan Pyae Sone Tun"/>
    <s v="8/12 yrs"/>
    <s v="M"/>
    <x v="1"/>
    <x v="1"/>
    <n v="30000"/>
    <n v="0.15"/>
    <n v="4500"/>
  </r>
  <r>
    <m/>
    <m/>
    <m/>
    <m/>
    <x v="1"/>
    <x v="2"/>
    <n v="10000"/>
    <n v="0.05"/>
    <n v="500"/>
  </r>
  <r>
    <m/>
    <m/>
    <m/>
    <m/>
    <x v="1"/>
    <x v="26"/>
    <n v="25000"/>
    <n v="0.05"/>
    <n v="1250"/>
  </r>
  <r>
    <m/>
    <s v="Ko Kyaw Khaing"/>
    <s v="61 yrs"/>
    <s v="M"/>
    <x v="8"/>
    <x v="22"/>
    <n v="30000"/>
    <n v="0"/>
    <n v="0"/>
  </r>
  <r>
    <m/>
    <s v="Mg Ar Kar"/>
    <s v="23 yrs"/>
    <s v="M"/>
    <x v="11"/>
    <x v="2"/>
    <n v="10000"/>
    <n v="0.05"/>
    <n v="500"/>
  </r>
  <r>
    <m/>
    <m/>
    <m/>
    <m/>
    <x v="11"/>
    <x v="26"/>
    <n v="25000"/>
    <n v="0.05"/>
    <n v="1250"/>
  </r>
  <r>
    <m/>
    <s v="Mg Paing Phyo Kyaw"/>
    <s v="5 7/12 yrs"/>
    <s v="M"/>
    <x v="1"/>
    <x v="1"/>
    <n v="30000"/>
    <n v="0.15"/>
    <n v="4500"/>
  </r>
  <r>
    <m/>
    <s v="Daw Nann"/>
    <s v="56 yrs"/>
    <s v="F"/>
    <x v="5"/>
    <x v="1"/>
    <n v="30000"/>
    <n v="0.15"/>
    <n v="4500"/>
  </r>
  <r>
    <m/>
    <m/>
    <m/>
    <m/>
    <x v="5"/>
    <x v="12"/>
    <n v="12000"/>
    <n v="0.05"/>
    <n v="600"/>
  </r>
  <r>
    <m/>
    <m/>
    <m/>
    <m/>
    <x v="5"/>
    <x v="18"/>
    <n v="25000"/>
    <n v="0.05"/>
    <n v="1250"/>
  </r>
  <r>
    <m/>
    <m/>
    <m/>
    <m/>
    <x v="5"/>
    <x v="6"/>
    <n v="10000"/>
    <n v="0.15"/>
    <n v="1500"/>
  </r>
  <r>
    <m/>
    <m/>
    <m/>
    <m/>
    <x v="5"/>
    <x v="5"/>
    <n v="30000"/>
    <n v="0.15"/>
    <n v="4500"/>
  </r>
  <r>
    <d v="2026-04-13T00:00:00"/>
    <s v="Ma Gwar See Nyi"/>
    <s v="21 yrs"/>
    <s v="F"/>
    <x v="5"/>
    <x v="12"/>
    <n v="12000"/>
    <n v="0.05"/>
    <n v="600"/>
  </r>
  <r>
    <m/>
    <m/>
    <m/>
    <m/>
    <x v="5"/>
    <x v="2"/>
    <n v="10000"/>
    <n v="0.05"/>
    <n v="500"/>
  </r>
  <r>
    <m/>
    <s v="Mg Okkar Zwal"/>
    <s v="2 yrs"/>
    <s v="M"/>
    <x v="1"/>
    <x v="13"/>
    <n v="12000"/>
    <n v="0.05"/>
    <n v="600"/>
  </r>
  <r>
    <m/>
    <s v="Mg ThuYa Oo"/>
    <s v="2 3/12 yrs"/>
    <s v="M"/>
    <x v="1"/>
    <x v="1"/>
    <n v="30000"/>
    <n v="0.15"/>
    <n v="4500"/>
  </r>
  <r>
    <m/>
    <m/>
    <m/>
    <m/>
    <x v="1"/>
    <x v="2"/>
    <n v="10000"/>
    <n v="0.05"/>
    <n v="500"/>
  </r>
  <r>
    <m/>
    <m/>
    <m/>
    <m/>
    <x v="1"/>
    <x v="26"/>
    <n v="25000"/>
    <n v="0.05"/>
    <n v="1250"/>
  </r>
  <r>
    <m/>
    <m/>
    <m/>
    <m/>
    <x v="1"/>
    <x v="4"/>
    <n v="25000"/>
    <n v="0.05"/>
    <n v="1250"/>
  </r>
  <r>
    <m/>
    <s v="Mg Zaw Dan Naw"/>
    <s v="2/12 yrs"/>
    <s v="M"/>
    <x v="1"/>
    <x v="1"/>
    <n v="30000"/>
    <n v="0.15"/>
    <n v="4500"/>
  </r>
  <r>
    <m/>
    <m/>
    <m/>
    <m/>
    <x v="1"/>
    <x v="4"/>
    <n v="25000"/>
    <n v="0.05"/>
    <n v="1250"/>
  </r>
  <r>
    <d v="2026-04-14T00:00:00"/>
    <s v="U Gwan Jar Naw"/>
    <s v="67 yrs"/>
    <s v="M"/>
    <x v="8"/>
    <x v="1"/>
    <n v="30000"/>
    <n v="0.15"/>
    <n v="4500"/>
  </r>
  <r>
    <m/>
    <m/>
    <m/>
    <m/>
    <x v="8"/>
    <x v="18"/>
    <n v="25000"/>
    <n v="0.05"/>
    <n v="1250"/>
  </r>
  <r>
    <m/>
    <m/>
    <m/>
    <m/>
    <x v="8"/>
    <x v="8"/>
    <n v="7000"/>
    <n v="0.05"/>
    <n v="350"/>
  </r>
  <r>
    <m/>
    <m/>
    <m/>
    <m/>
    <x v="8"/>
    <x v="9"/>
    <n v="7000"/>
    <n v="0.05"/>
    <n v="350"/>
  </r>
  <r>
    <m/>
    <m/>
    <m/>
    <m/>
    <x v="8"/>
    <x v="10"/>
    <n v="10000"/>
    <n v="0.05"/>
    <n v="500"/>
  </r>
  <r>
    <m/>
    <m/>
    <m/>
    <m/>
    <x v="8"/>
    <x v="6"/>
    <n v="10000"/>
    <n v="0.15"/>
    <n v="1500"/>
  </r>
  <r>
    <m/>
    <m/>
    <m/>
    <m/>
    <x v="8"/>
    <x v="20"/>
    <n v="36000"/>
    <n v="0.15"/>
    <n v="5400"/>
  </r>
  <r>
    <m/>
    <m/>
    <m/>
    <m/>
    <x v="8"/>
    <x v="5"/>
    <n v="30000"/>
    <n v="0.15"/>
    <n v="4500"/>
  </r>
  <r>
    <m/>
    <s v="Ma Nan Thazin Khaing"/>
    <s v="22 yrs"/>
    <s v="F"/>
    <x v="5"/>
    <x v="1"/>
    <n v="30000"/>
    <n v="0.15"/>
    <n v="4500"/>
  </r>
  <r>
    <m/>
    <m/>
    <m/>
    <m/>
    <x v="5"/>
    <x v="24"/>
    <n v="25000"/>
    <n v="0.05"/>
    <n v="1250"/>
  </r>
  <r>
    <m/>
    <m/>
    <m/>
    <m/>
    <x v="5"/>
    <x v="5"/>
    <n v="30000"/>
    <n v="0.15"/>
    <n v="4500"/>
  </r>
  <r>
    <m/>
    <s v="Ma Sann Oo"/>
    <s v="30 yrs"/>
    <s v="F"/>
    <x v="5"/>
    <x v="1"/>
    <n v="30000"/>
    <n v="0.15"/>
    <n v="4500"/>
  </r>
  <r>
    <m/>
    <m/>
    <m/>
    <m/>
    <x v="5"/>
    <x v="21"/>
    <n v="10000"/>
    <n v="0.15"/>
    <n v="1500"/>
  </r>
  <r>
    <m/>
    <m/>
    <m/>
    <m/>
    <x v="5"/>
    <x v="16"/>
    <n v="30000"/>
    <n v="0.05"/>
    <n v="1500"/>
  </r>
  <r>
    <m/>
    <m/>
    <m/>
    <m/>
    <x v="5"/>
    <x v="17"/>
    <n v="10000"/>
    <n v="0.05"/>
    <n v="500"/>
  </r>
  <r>
    <d v="2026-04-15T00:00:00"/>
    <s v="Ko Sut La Aung"/>
    <s v="26 yrs"/>
    <s v="M"/>
    <x v="9"/>
    <x v="2"/>
    <n v="10000"/>
    <n v="0.05"/>
    <n v="500"/>
  </r>
  <r>
    <m/>
    <m/>
    <m/>
    <m/>
    <x v="9"/>
    <x v="3"/>
    <n v="12000"/>
    <n v="0.05"/>
    <n v="600"/>
  </r>
  <r>
    <d v="2026-04-19T00:00:00"/>
    <s v="Ma Hnin Kyi"/>
    <s v="32 yrs"/>
    <s v="F"/>
    <x v="5"/>
    <x v="1"/>
    <n v="30000"/>
    <n v="0.15"/>
    <n v="4500"/>
  </r>
  <r>
    <m/>
    <m/>
    <m/>
    <m/>
    <x v="5"/>
    <x v="21"/>
    <n v="10000"/>
    <n v="0.15"/>
    <n v="1500"/>
  </r>
  <r>
    <m/>
    <s v="Mg Lote Zone"/>
    <s v="4/12 yrs"/>
    <s v="M"/>
    <x v="1"/>
    <x v="5"/>
    <n v="30000"/>
    <n v="0.15"/>
    <n v="4500"/>
  </r>
  <r>
    <d v="2026-04-20T00:00:00"/>
    <s v="Daw Nann"/>
    <s v="56 yrs"/>
    <s v="F"/>
    <x v="5"/>
    <x v="8"/>
    <n v="7000"/>
    <n v="0.05"/>
    <n v="350"/>
  </r>
  <r>
    <m/>
    <m/>
    <m/>
    <m/>
    <x v="5"/>
    <x v="9"/>
    <n v="7000"/>
    <n v="0.05"/>
    <n v="350"/>
  </r>
  <r>
    <m/>
    <m/>
    <m/>
    <m/>
    <x v="5"/>
    <x v="7"/>
    <n v="36000"/>
    <n v="0.15"/>
    <n v="5400"/>
  </r>
  <r>
    <m/>
    <s v="Daw San Taung"/>
    <s v="36 yrs"/>
    <s v="F"/>
    <x v="9"/>
    <x v="12"/>
    <n v="12000"/>
    <n v="0.05"/>
    <n v="600"/>
  </r>
  <r>
    <m/>
    <s v="U Sai Lone"/>
    <s v="51 yrs"/>
    <s v="M"/>
    <x v="8"/>
    <x v="5"/>
    <n v="30000"/>
    <n v="0.15"/>
    <n v="4500"/>
  </r>
  <r>
    <m/>
    <s v="U Sein Aung"/>
    <s v="78 yrs"/>
    <s v="M"/>
    <x v="8"/>
    <x v="12"/>
    <n v="12000"/>
    <n v="0.05"/>
    <n v="600"/>
  </r>
  <r>
    <m/>
    <s v="U La Aung"/>
    <s v="59 yrs"/>
    <s v="M"/>
    <x v="8"/>
    <x v="25"/>
    <n v="20000"/>
    <n v="0.05"/>
    <n v="1000"/>
  </r>
  <r>
    <m/>
    <m/>
    <m/>
    <m/>
    <x v="8"/>
    <x v="24"/>
    <n v="25000"/>
    <n v="0.05"/>
    <n v="1250"/>
  </r>
  <r>
    <m/>
    <s v="Mg Mone Dan Aung"/>
    <s v="7 yrs"/>
    <s v="M"/>
    <x v="1"/>
    <x v="1"/>
    <n v="30000"/>
    <n v="0.15"/>
    <n v="4500"/>
  </r>
  <r>
    <m/>
    <m/>
    <m/>
    <m/>
    <x v="1"/>
    <x v="5"/>
    <n v="30000"/>
    <n v="0.15"/>
    <n v="4500"/>
  </r>
  <r>
    <m/>
    <m/>
    <m/>
    <m/>
    <x v="1"/>
    <x v="6"/>
    <n v="10000"/>
    <n v="0.15"/>
    <n v="1500"/>
  </r>
  <r>
    <m/>
    <m/>
    <m/>
    <m/>
    <x v="1"/>
    <x v="4"/>
    <n v="25000"/>
    <n v="0.05"/>
    <n v="1250"/>
  </r>
  <r>
    <d v="2026-04-22T00:00:00"/>
    <s v="Ma Lu Aung"/>
    <s v="32 yrs"/>
    <s v="F"/>
    <x v="7"/>
    <x v="27"/>
    <s v=""/>
    <n v="0"/>
    <s v=""/>
  </r>
  <r>
    <m/>
    <m/>
    <m/>
    <m/>
    <x v="7"/>
    <x v="28"/>
    <n v="10000"/>
    <n v="0.15"/>
    <n v="1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138A5C-C4C7-4470-8FC1-147870EDB367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st Name">
  <location ref="A3:B33" firstHeaderRow="1" firstDataRow="1" firstDataCol="1"/>
  <pivotFields count="9">
    <pivotField showAll="0"/>
    <pivotField showAll="0"/>
    <pivotField showAll="0"/>
    <pivotField showAll="0"/>
    <pivotField showAll="0"/>
    <pivotField axis="axisRow" dataField="1" showAll="0" sortType="descending">
      <items count="47">
        <item m="1" x="40"/>
        <item x="16"/>
        <item x="1"/>
        <item x="6"/>
        <item x="4"/>
        <item x="26"/>
        <item x="5"/>
        <item x="21"/>
        <item x="25"/>
        <item x="0"/>
        <item x="28"/>
        <item m="1" x="43"/>
        <item m="1" x="42"/>
        <item x="18"/>
        <item x="8"/>
        <item m="1" x="39"/>
        <item x="9"/>
        <item x="10"/>
        <item m="1" x="34"/>
        <item x="14"/>
        <item x="7"/>
        <item x="20"/>
        <item x="3"/>
        <item x="2"/>
        <item m="1" x="38"/>
        <item x="17"/>
        <item m="1" x="44"/>
        <item x="13"/>
        <item m="1" x="33"/>
        <item x="23"/>
        <item m="1" x="41"/>
        <item m="1" x="31"/>
        <item x="24"/>
        <item x="15"/>
        <item x="19"/>
        <item x="12"/>
        <item m="1" x="45"/>
        <item m="1" x="30"/>
        <item m="1" x="32"/>
        <item m="1" x="35"/>
        <item m="1" x="36"/>
        <item m="1" x="37"/>
        <item x="11"/>
        <item x="22"/>
        <item m="1" x="29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numFmtId="9" showAll="0"/>
    <pivotField numFmtId="3" showAll="0"/>
  </pivotFields>
  <rowFields count="1">
    <field x="5"/>
  </rowFields>
  <rowItems count="30">
    <i>
      <x v="2"/>
    </i>
    <i>
      <x v="6"/>
    </i>
    <i>
      <x v="35"/>
    </i>
    <i>
      <x v="23"/>
    </i>
    <i>
      <x v="3"/>
    </i>
    <i>
      <x v="16"/>
    </i>
    <i>
      <x v="14"/>
    </i>
    <i>
      <x v="17"/>
    </i>
    <i>
      <x v="4"/>
    </i>
    <i>
      <x v="20"/>
    </i>
    <i>
      <x v="42"/>
    </i>
    <i>
      <x v="22"/>
    </i>
    <i>
      <x v="5"/>
    </i>
    <i>
      <x v="32"/>
    </i>
    <i>
      <x v="13"/>
    </i>
    <i>
      <x v="7"/>
    </i>
    <i>
      <x v="9"/>
    </i>
    <i>
      <x v="8"/>
    </i>
    <i>
      <x v="33"/>
    </i>
    <i>
      <x v="43"/>
    </i>
    <i>
      <x v="21"/>
    </i>
    <i>
      <x v="27"/>
    </i>
    <i>
      <x v="1"/>
    </i>
    <i>
      <x v="25"/>
    </i>
    <i>
      <x v="45"/>
    </i>
    <i>
      <x v="10"/>
    </i>
    <i>
      <x v="34"/>
    </i>
    <i>
      <x v="29"/>
    </i>
    <i>
      <x v="19"/>
    </i>
    <i t="grand">
      <x/>
    </i>
  </rowItems>
  <colItems count="1">
    <i/>
  </colItems>
  <dataFields count="1">
    <dataField name="Test Count" fld="5" subtotal="count" baseField="5" baseItem="0"/>
  </dataFields>
  <formats count="8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5" type="button" dataOnly="0" labelOnly="1" outline="0" axis="axisRow" fieldPosition="0"/>
    </format>
    <format dxfId="30">
      <pivotArea dataOnly="0" labelOnly="1" fieldPosition="0">
        <references count="1">
          <reference field="5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  <format dxfId="27">
      <pivotArea field="5" type="button" dataOnly="0" labelOnly="1" outline="0" axis="axisRow" fieldPosition="0"/>
    </format>
    <format dxfId="2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8273E-3312-4EC5-A93A-423274F89467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fer Names">
  <location ref="A3:B16" firstHeaderRow="1" firstDataRow="1" firstDataCol="1" rowPageCount="1" colPageCount="1"/>
  <pivotFields count="9">
    <pivotField showAll="0"/>
    <pivotField showAll="0"/>
    <pivotField showAll="0"/>
    <pivotField showAll="0"/>
    <pivotField axis="axisRow" showAll="0" sortType="descending">
      <items count="21">
        <item x="10"/>
        <item m="1" x="13"/>
        <item m="1" x="18"/>
        <item x="9"/>
        <item x="1"/>
        <item x="8"/>
        <item x="11"/>
        <item x="0"/>
        <item m="1" x="17"/>
        <item x="3"/>
        <item m="1" x="16"/>
        <item x="5"/>
        <item m="1" x="19"/>
        <item x="2"/>
        <item m="1" x="15"/>
        <item x="4"/>
        <item m="1" x="12"/>
        <item m="1" x="14"/>
        <item x="7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Test Name" axis="axisPage" showAll="0">
      <items count="47">
        <item x="1"/>
        <item x="6"/>
        <item x="4"/>
        <item x="26"/>
        <item x="5"/>
        <item x="21"/>
        <item x="0"/>
        <item m="1" x="43"/>
        <item m="1" x="42"/>
        <item x="18"/>
        <item x="8"/>
        <item m="1" x="39"/>
        <item x="9"/>
        <item x="10"/>
        <item m="1" x="34"/>
        <item x="14"/>
        <item x="7"/>
        <item x="20"/>
        <item x="3"/>
        <item x="2"/>
        <item m="1" x="38"/>
        <item m="1" x="44"/>
        <item m="1" x="33"/>
        <item x="23"/>
        <item m="1" x="41"/>
        <item x="24"/>
        <item x="15"/>
        <item x="19"/>
        <item x="12"/>
        <item m="1" x="45"/>
        <item m="1" x="32"/>
        <item x="13"/>
        <item m="1" x="31"/>
        <item x="16"/>
        <item m="1" x="30"/>
        <item x="28"/>
        <item m="1" x="40"/>
        <item x="17"/>
        <item x="25"/>
        <item m="1" x="35"/>
        <item m="1" x="36"/>
        <item m="1" x="37"/>
        <item x="11"/>
        <item x="22"/>
        <item m="1" x="29"/>
        <item x="27"/>
        <item t="default"/>
      </items>
    </pivotField>
    <pivotField numFmtId="3" showAll="0"/>
    <pivotField numFmtId="9" showAll="0"/>
    <pivotField dataField="1" numFmtId="3" showAll="0"/>
  </pivotFields>
  <rowFields count="1">
    <field x="4"/>
  </rowFields>
  <rowItems count="13">
    <i>
      <x v="4"/>
    </i>
    <i>
      <x v="11"/>
    </i>
    <i>
      <x v="5"/>
    </i>
    <i>
      <x v="3"/>
    </i>
    <i>
      <x v="7"/>
    </i>
    <i>
      <x v="18"/>
    </i>
    <i>
      <x v="19"/>
    </i>
    <i>
      <x v="15"/>
    </i>
    <i>
      <x v="6"/>
    </i>
    <i>
      <x v="13"/>
    </i>
    <i>
      <x v="9"/>
    </i>
    <i>
      <x/>
    </i>
    <i t="grand">
      <x/>
    </i>
  </rowItems>
  <colItems count="1">
    <i/>
  </colItems>
  <pageFields count="1">
    <pageField fld="5" hier="-1"/>
  </pageFields>
  <dataFields count="1">
    <dataField name="Total Refer Fee Amount" fld="8" baseField="4" baseItem="0" numFmtId="3"/>
  </dataFields>
  <formats count="8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4" type="button" dataOnly="0" labelOnly="1" outline="0" axis="axisRow" fieldPosition="0"/>
    </format>
    <format dxfId="22">
      <pivotArea dataOnly="0" labelOnly="1" fieldPosition="0">
        <references count="1">
          <reference field="4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  <format dxfId="19">
      <pivotArea field="4" type="button" dataOnly="0" labelOnly="1" outline="0" axis="axisRow" fieldPosition="0"/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F843FA-AD1F-4CFC-A84E-FDC4C1DAB5D2}" name="Table2" displayName="Table2" ref="A1:I129" dataDxfId="53" tableBorderDxfId="52">
  <autoFilter ref="A1:I129" xr:uid="{11F843FA-AD1F-4CFC-A84E-FDC4C1DAB5D2}"/>
  <tableColumns count="9">
    <tableColumn id="1" xr3:uid="{0799DCFE-ECC7-4D59-8994-A699478BBD0B}" name="Date" totalsRowLabel="Total" dataDxfId="51" totalsRowDxfId="50"/>
    <tableColumn id="2" xr3:uid="{35C3DF39-C34C-4D52-A93C-E154B41D9C57}" name="Name" dataDxfId="49" totalsRowDxfId="48"/>
    <tableColumn id="3" xr3:uid="{00770472-6293-4DE4-A55A-213B747EF660}" name="Age" dataDxfId="47" totalsRowDxfId="46"/>
    <tableColumn id="4" xr3:uid="{90C8D475-8EC7-4488-913F-205F3205A818}" name="Gender" dataDxfId="45" totalsRowDxfId="44"/>
    <tableColumn id="5" xr3:uid="{F9CB2D01-2381-448D-A27D-4D2EEBDC2E66}" name="Refer By" dataDxfId="43" totalsRowDxfId="42"/>
    <tableColumn id="6" xr3:uid="{8B4D4C52-32A1-4BD7-AD9B-9EA212B06BFB}" name="Test" dataDxfId="41" totalsRowDxfId="40"/>
    <tableColumn id="7" xr3:uid="{DAF6F104-EA20-4999-956B-4B376473C0C0}" name="Price" dataDxfId="39" totalsRowDxfId="38">
      <calculatedColumnFormula>IFERROR(VLOOKUP(F2, Price_Master!$A$2:$C$201, 2, FALSE), "")</calculatedColumnFormula>
    </tableColumn>
    <tableColumn id="8" xr3:uid="{0EECDDB1-934F-4DE2-BC07-36C1C144CCEA}" name="Refer Fee %" dataDxfId="37" totalsRowDxfId="36">
      <calculatedColumnFormula>IFERROR(VLOOKUP(F2, Price_Master!$A$2:$C$201, 3, FALSE), 0)</calculatedColumnFormula>
    </tableColumn>
    <tableColumn id="9" xr3:uid="{7504BCAD-A788-4B57-B2E3-BE42F4652152}" name="Refer Fee Amount" totalsRowFunction="sum" dataDxfId="35" totalsRowDxfId="34">
      <calculatedColumnFormula>IFERROR(G2*H2, "")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C89A31-72BD-4C31-B363-39F6226FFD75}" name="tblPrice" displayName="tblPrice" ref="A1:C69" totalsRowShown="0">
  <autoFilter ref="A1:C69" xr:uid="{5FC89A31-72BD-4C31-B363-39F6226FFD75}"/>
  <tableColumns count="3">
    <tableColumn id="1" xr3:uid="{37C656CE-4DE8-416A-8798-00362DE60134}" name="Test"/>
    <tableColumn id="2" xr3:uid="{E215151E-5E1A-4CA9-8FC0-A27A24A890C8}" name="Price" dataDxfId="17"/>
    <tableColumn id="3" xr3:uid="{DEEB363C-68D7-42FE-9A33-8BFDA2CC26B0}" name="Fee %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1498C-89CB-4FC1-A3A0-0186634AEB43}">
  <dimension ref="A1:L188"/>
  <sheetViews>
    <sheetView tabSelected="1" topLeftCell="A109" zoomScaleNormal="100" workbookViewId="0">
      <selection activeCell="G134" sqref="G134"/>
    </sheetView>
  </sheetViews>
  <sheetFormatPr defaultRowHeight="15" x14ac:dyDescent="0.25"/>
  <cols>
    <col min="1" max="1" width="14.5703125" style="12" bestFit="1" customWidth="1"/>
    <col min="2" max="2" width="29.42578125" style="2" bestFit="1" customWidth="1"/>
    <col min="3" max="3" width="12.5703125" style="2" bestFit="1" customWidth="1"/>
    <col min="4" max="4" width="15.7109375" style="2" bestFit="1" customWidth="1"/>
    <col min="5" max="5" width="18.5703125" style="2" bestFit="1" customWidth="1"/>
    <col min="6" max="6" width="17.28515625" style="2" bestFit="1" customWidth="1"/>
    <col min="7" max="7" width="11.85546875" style="1" bestFit="1" customWidth="1"/>
    <col min="8" max="8" width="23.28515625" style="3" bestFit="1" customWidth="1"/>
    <col min="9" max="9" width="33.7109375" style="1" bestFit="1" customWidth="1"/>
    <col min="12" max="12" width="28.85546875" customWidth="1"/>
    <col min="14" max="14" width="22.140625" customWidth="1"/>
    <col min="15" max="15" width="19.28515625" bestFit="1" customWidth="1"/>
  </cols>
  <sheetData>
    <row r="1" spans="1:12" ht="27" thickBot="1" x14ac:dyDescent="0.45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9" t="s">
        <v>6</v>
      </c>
      <c r="H1" s="20" t="s">
        <v>55</v>
      </c>
      <c r="I1" s="19" t="s">
        <v>61</v>
      </c>
      <c r="K1" s="9" t="s">
        <v>80</v>
      </c>
      <c r="L1" s="21">
        <f>SUM(Daily_table!$G$2:$G$129)</f>
        <v>2315000</v>
      </c>
    </row>
    <row r="2" spans="1:12" ht="18.75" x14ac:dyDescent="0.3">
      <c r="A2" s="16">
        <v>46113</v>
      </c>
      <c r="B2" s="13" t="s">
        <v>84</v>
      </c>
      <c r="C2" s="13" t="s">
        <v>85</v>
      </c>
      <c r="D2" s="13" t="s">
        <v>86</v>
      </c>
      <c r="E2" s="13" t="s">
        <v>82</v>
      </c>
      <c r="F2" s="13" t="s">
        <v>14</v>
      </c>
      <c r="G2" s="14">
        <f>IFERROR(VLOOKUP(F2, Price_Master!$A$2:$C$201, 2, FALSE), "")</f>
        <v>7000</v>
      </c>
      <c r="H2" s="15">
        <f>IFERROR(VLOOKUP(F2, Price_Master!$A$2:$C$201, 3, FALSE), 0)</f>
        <v>0.15</v>
      </c>
      <c r="I2" s="14">
        <f t="shared" ref="I2" si="0">IFERROR(G2*H2, "")</f>
        <v>1050</v>
      </c>
    </row>
    <row r="3" spans="1:12" ht="18.75" x14ac:dyDescent="0.3">
      <c r="A3" s="22"/>
      <c r="B3" s="23" t="s">
        <v>87</v>
      </c>
      <c r="C3" s="23" t="s">
        <v>88</v>
      </c>
      <c r="D3" s="23" t="s">
        <v>86</v>
      </c>
      <c r="E3" s="23" t="s">
        <v>89</v>
      </c>
      <c r="F3" s="23" t="s">
        <v>7</v>
      </c>
      <c r="G3" s="24">
        <f>IFERROR(VLOOKUP(F3, Price_Master!$A$2:$C$201, 2, FALSE), "")</f>
        <v>30000</v>
      </c>
      <c r="H3" s="25">
        <f>IFERROR(VLOOKUP(F3, Price_Master!$A$2:$C$201, 3, FALSE), 0)</f>
        <v>0.15</v>
      </c>
      <c r="I3" s="24">
        <f t="shared" ref="I3:I14" si="1">IFERROR(G3*H3, "")</f>
        <v>4500</v>
      </c>
    </row>
    <row r="4" spans="1:12" ht="18.75" x14ac:dyDescent="0.3">
      <c r="A4" s="22"/>
      <c r="B4" s="23" t="s">
        <v>90</v>
      </c>
      <c r="C4" s="23" t="s">
        <v>91</v>
      </c>
      <c r="D4" s="23" t="s">
        <v>92</v>
      </c>
      <c r="E4" s="23" t="s">
        <v>89</v>
      </c>
      <c r="F4" s="23" t="s">
        <v>7</v>
      </c>
      <c r="G4" s="24">
        <f>IFERROR(VLOOKUP(F4, Price_Master!$A$2:$C$201, 2, FALSE), "")</f>
        <v>30000</v>
      </c>
      <c r="H4" s="25">
        <f>IFERROR(VLOOKUP(F4, Price_Master!$A$2:$C$201, 3, FALSE), 0)</f>
        <v>0.15</v>
      </c>
      <c r="I4" s="24">
        <f t="shared" si="1"/>
        <v>4500</v>
      </c>
    </row>
    <row r="5" spans="1:12" ht="18.75" x14ac:dyDescent="0.3">
      <c r="A5" s="22"/>
      <c r="B5" s="23"/>
      <c r="C5" s="23"/>
      <c r="D5" s="23"/>
      <c r="E5" s="23" t="s">
        <v>89</v>
      </c>
      <c r="F5" s="23" t="s">
        <v>57</v>
      </c>
      <c r="G5" s="24">
        <f>IFERROR(VLOOKUP(F5, Price_Master!$A$2:$C$201, 2, FALSE), "")</f>
        <v>10000</v>
      </c>
      <c r="H5" s="25">
        <f>IFERROR(VLOOKUP(F5, Price_Master!$A$2:$C$201, 3, FALSE), 0)</f>
        <v>0.05</v>
      </c>
      <c r="I5" s="24">
        <f t="shared" si="1"/>
        <v>500</v>
      </c>
    </row>
    <row r="6" spans="1:12" ht="18.75" x14ac:dyDescent="0.3">
      <c r="A6" s="22"/>
      <c r="B6" s="23"/>
      <c r="C6" s="23"/>
      <c r="D6" s="23"/>
      <c r="E6" s="23" t="s">
        <v>89</v>
      </c>
      <c r="F6" s="23" t="s">
        <v>58</v>
      </c>
      <c r="G6" s="24">
        <f>IFERROR(VLOOKUP(F6, Price_Master!$A$2:$C$201, 2, FALSE), "")</f>
        <v>12000</v>
      </c>
      <c r="H6" s="25">
        <f>IFERROR(VLOOKUP(F6, Price_Master!$A$2:$C$201, 3, FALSE), 0)</f>
        <v>0.05</v>
      </c>
      <c r="I6" s="24">
        <f t="shared" si="1"/>
        <v>600</v>
      </c>
    </row>
    <row r="7" spans="1:12" ht="18.75" x14ac:dyDescent="0.3">
      <c r="A7" s="22"/>
      <c r="B7" s="23"/>
      <c r="C7" s="23"/>
      <c r="D7" s="23"/>
      <c r="E7" s="23" t="s">
        <v>89</v>
      </c>
      <c r="F7" s="23" t="s">
        <v>60</v>
      </c>
      <c r="G7" s="24">
        <f>IFERROR(VLOOKUP(F7, Price_Master!$A$2:$C$201, 2, FALSE), "")</f>
        <v>25000</v>
      </c>
      <c r="H7" s="25">
        <f>IFERROR(VLOOKUP(F7, Price_Master!$A$2:$C$201, 3, FALSE), 0)</f>
        <v>0.05</v>
      </c>
      <c r="I7" s="24">
        <f t="shared" si="1"/>
        <v>1250</v>
      </c>
    </row>
    <row r="8" spans="1:12" ht="18.75" x14ac:dyDescent="0.3">
      <c r="A8" s="22"/>
      <c r="B8" s="23"/>
      <c r="C8" s="23"/>
      <c r="D8" s="23"/>
      <c r="E8" s="23" t="s">
        <v>89</v>
      </c>
      <c r="F8" s="23" t="s">
        <v>15</v>
      </c>
      <c r="G8" s="24">
        <f>IFERROR(VLOOKUP(F8, Price_Master!$A$2:$C$201, 2, FALSE), "")</f>
        <v>30000</v>
      </c>
      <c r="H8" s="25">
        <f>IFERROR(VLOOKUP(F8, Price_Master!$A$2:$C$201, 3, FALSE), 0)</f>
        <v>0.15</v>
      </c>
      <c r="I8" s="24">
        <f t="shared" si="1"/>
        <v>4500</v>
      </c>
    </row>
    <row r="9" spans="1:12" ht="18.75" x14ac:dyDescent="0.3">
      <c r="A9" s="22"/>
      <c r="B9" s="23"/>
      <c r="C9" s="23"/>
      <c r="D9" s="23"/>
      <c r="E9" s="23" t="s">
        <v>89</v>
      </c>
      <c r="F9" s="23" t="s">
        <v>49</v>
      </c>
      <c r="G9" s="24">
        <f>IFERROR(VLOOKUP(F9, Price_Master!$A$2:$C$201, 2, FALSE), "")</f>
        <v>10000</v>
      </c>
      <c r="H9" s="25">
        <f>IFERROR(VLOOKUP(F9, Price_Master!$A$2:$C$201, 3, FALSE), 0)</f>
        <v>0.15</v>
      </c>
      <c r="I9" s="24">
        <f t="shared" si="1"/>
        <v>1500</v>
      </c>
    </row>
    <row r="10" spans="1:12" ht="18.75" x14ac:dyDescent="0.3">
      <c r="A10" s="22"/>
      <c r="B10" s="23"/>
      <c r="C10" s="23"/>
      <c r="D10" s="23"/>
      <c r="E10" s="23" t="s">
        <v>89</v>
      </c>
      <c r="F10" s="23" t="s">
        <v>37</v>
      </c>
      <c r="G10" s="24">
        <f>IFERROR(VLOOKUP(F10, Price_Master!$A$2:$C$201, 2, FALSE), "")</f>
        <v>36000</v>
      </c>
      <c r="H10" s="25">
        <f>IFERROR(VLOOKUP(F10, Price_Master!$A$2:$C$201, 3, FALSE), 0)</f>
        <v>0.15</v>
      </c>
      <c r="I10" s="24">
        <f t="shared" si="1"/>
        <v>5400</v>
      </c>
    </row>
    <row r="11" spans="1:12" ht="18.75" x14ac:dyDescent="0.3">
      <c r="A11" s="22"/>
      <c r="B11" s="23" t="s">
        <v>93</v>
      </c>
      <c r="C11" s="23" t="s">
        <v>91</v>
      </c>
      <c r="D11" s="23" t="s">
        <v>92</v>
      </c>
      <c r="E11" s="23" t="s">
        <v>82</v>
      </c>
      <c r="F11" s="23" t="s">
        <v>50</v>
      </c>
      <c r="G11" s="24">
        <f>IFERROR(VLOOKUP(F11, Price_Master!$A$2:$C$201, 2, FALSE), "")</f>
        <v>7000</v>
      </c>
      <c r="H11" s="25">
        <f>IFERROR(VLOOKUP(F11, Price_Master!$A$2:$C$201, 3, FALSE), 0)</f>
        <v>0.05</v>
      </c>
      <c r="I11" s="24">
        <f t="shared" si="1"/>
        <v>350</v>
      </c>
    </row>
    <row r="12" spans="1:12" ht="18.75" x14ac:dyDescent="0.3">
      <c r="A12" s="22"/>
      <c r="B12" s="23"/>
      <c r="C12" s="23"/>
      <c r="D12" s="23"/>
      <c r="E12" s="23" t="s">
        <v>82</v>
      </c>
      <c r="F12" s="23" t="s">
        <v>22</v>
      </c>
      <c r="G12" s="24">
        <f>IFERROR(VLOOKUP(F12, Price_Master!$A$2:$C$201, 2, FALSE), "")</f>
        <v>7000</v>
      </c>
      <c r="H12" s="25">
        <f>IFERROR(VLOOKUP(F12, Price_Master!$A$2:$C$201, 3, FALSE), 0)</f>
        <v>0.05</v>
      </c>
      <c r="I12" s="24">
        <f t="shared" si="1"/>
        <v>350</v>
      </c>
    </row>
    <row r="13" spans="1:12" ht="18.75" x14ac:dyDescent="0.3">
      <c r="A13" s="22"/>
      <c r="B13" s="23"/>
      <c r="C13" s="23"/>
      <c r="D13" s="23"/>
      <c r="E13" s="23" t="s">
        <v>82</v>
      </c>
      <c r="F13" s="23" t="s">
        <v>21</v>
      </c>
      <c r="G13" s="24">
        <f>IFERROR(VLOOKUP(F13, Price_Master!$A$2:$C$201, 2, FALSE), "")</f>
        <v>10000</v>
      </c>
      <c r="H13" s="25">
        <f>IFERROR(VLOOKUP(F13, Price_Master!$A$2:$C$201, 3, FALSE), 0)</f>
        <v>0.05</v>
      </c>
      <c r="I13" s="24">
        <f t="shared" si="1"/>
        <v>500</v>
      </c>
    </row>
    <row r="14" spans="1:12" ht="18.75" x14ac:dyDescent="0.3">
      <c r="A14" s="22"/>
      <c r="B14" s="23"/>
      <c r="C14" s="23"/>
      <c r="D14" s="23"/>
      <c r="E14" s="23" t="s">
        <v>82</v>
      </c>
      <c r="F14" s="23" t="s">
        <v>83</v>
      </c>
      <c r="G14" s="24">
        <f>IFERROR(VLOOKUP(F14, Price_Master!$A$2:$C$201, 2, FALSE), "")</f>
        <v>7000</v>
      </c>
      <c r="H14" s="25">
        <f>IFERROR(VLOOKUP(F14, Price_Master!$A$2:$C$201, 3, FALSE), 0)</f>
        <v>0.05</v>
      </c>
      <c r="I14" s="24">
        <f t="shared" si="1"/>
        <v>350</v>
      </c>
    </row>
    <row r="15" spans="1:12" ht="18.75" x14ac:dyDescent="0.3">
      <c r="A15" s="22">
        <v>46114</v>
      </c>
      <c r="B15" s="23" t="s">
        <v>94</v>
      </c>
      <c r="C15" s="23" t="s">
        <v>95</v>
      </c>
      <c r="D15" s="23" t="s">
        <v>92</v>
      </c>
      <c r="E15" s="23" t="s">
        <v>82</v>
      </c>
      <c r="F15" s="23" t="s">
        <v>50</v>
      </c>
      <c r="G15" s="24">
        <f>IFERROR(VLOOKUP(F15, Price_Master!$A$2:$C$201, 2, FALSE), "")</f>
        <v>7000</v>
      </c>
      <c r="H15" s="25">
        <f>IFERROR(VLOOKUP(F15, Price_Master!$A$2:$C$201, 3, FALSE), 0)</f>
        <v>0.05</v>
      </c>
      <c r="I15" s="24">
        <f t="shared" ref="I15:I26" si="2">IFERROR(G15*H15, "")</f>
        <v>350</v>
      </c>
    </row>
    <row r="16" spans="1:12" ht="18.75" x14ac:dyDescent="0.3">
      <c r="A16" s="22"/>
      <c r="B16" s="23"/>
      <c r="C16" s="23"/>
      <c r="D16" s="23"/>
      <c r="E16" s="23" t="s">
        <v>82</v>
      </c>
      <c r="F16" s="23" t="s">
        <v>22</v>
      </c>
      <c r="G16" s="24">
        <f>IFERROR(VLOOKUP(F16, Price_Master!$A$2:$C$201, 2, FALSE), "")</f>
        <v>7000</v>
      </c>
      <c r="H16" s="25">
        <f>IFERROR(VLOOKUP(F16, Price_Master!$A$2:$C$201, 3, FALSE), 0)</f>
        <v>0.05</v>
      </c>
      <c r="I16" s="24">
        <f t="shared" si="2"/>
        <v>350</v>
      </c>
    </row>
    <row r="17" spans="1:9" ht="18.75" x14ac:dyDescent="0.3">
      <c r="A17" s="22"/>
      <c r="B17" s="23"/>
      <c r="C17" s="23"/>
      <c r="D17" s="23"/>
      <c r="E17" s="23" t="s">
        <v>82</v>
      </c>
      <c r="F17" s="23" t="s">
        <v>21</v>
      </c>
      <c r="G17" s="24">
        <f>IFERROR(VLOOKUP(F17, Price_Master!$A$2:$C$201, 2, FALSE), "")</f>
        <v>10000</v>
      </c>
      <c r="H17" s="25">
        <f>IFERROR(VLOOKUP(F17, Price_Master!$A$2:$C$201, 3, FALSE), 0)</f>
        <v>0.05</v>
      </c>
      <c r="I17" s="24">
        <f t="shared" si="2"/>
        <v>500</v>
      </c>
    </row>
    <row r="18" spans="1:9" ht="18.75" x14ac:dyDescent="0.3">
      <c r="A18" s="22"/>
      <c r="B18" s="23"/>
      <c r="C18" s="23"/>
      <c r="D18" s="23"/>
      <c r="E18" s="23" t="s">
        <v>82</v>
      </c>
      <c r="F18" s="23" t="s">
        <v>83</v>
      </c>
      <c r="G18" s="24">
        <f>IFERROR(VLOOKUP(F18, Price_Master!$A$2:$C$201, 2, FALSE), "")</f>
        <v>7000</v>
      </c>
      <c r="H18" s="25">
        <f>IFERROR(VLOOKUP(F18, Price_Master!$A$2:$C$201, 3, FALSE), 0)</f>
        <v>0.05</v>
      </c>
      <c r="I18" s="24">
        <f t="shared" si="2"/>
        <v>350</v>
      </c>
    </row>
    <row r="19" spans="1:9" ht="18.75" x14ac:dyDescent="0.3">
      <c r="A19" s="22"/>
      <c r="B19" s="23" t="s">
        <v>96</v>
      </c>
      <c r="C19" s="23" t="s">
        <v>91</v>
      </c>
      <c r="D19" s="23" t="s">
        <v>86</v>
      </c>
      <c r="E19" s="23" t="s">
        <v>98</v>
      </c>
      <c r="F19" s="23" t="s">
        <v>57</v>
      </c>
      <c r="G19" s="24">
        <f>IFERROR(VLOOKUP(F19, Price_Master!$A$2:$C$201, 2, FALSE), "")</f>
        <v>10000</v>
      </c>
      <c r="H19" s="25">
        <f>IFERROR(VLOOKUP(F19, Price_Master!$A$2:$C$201, 3, FALSE), 0)</f>
        <v>0.05</v>
      </c>
      <c r="I19" s="24">
        <f t="shared" si="2"/>
        <v>500</v>
      </c>
    </row>
    <row r="20" spans="1:9" ht="18.75" x14ac:dyDescent="0.3">
      <c r="A20" s="22"/>
      <c r="B20" s="23"/>
      <c r="C20" s="23"/>
      <c r="D20" s="23"/>
      <c r="E20" s="23" t="s">
        <v>98</v>
      </c>
      <c r="F20" s="23" t="s">
        <v>58</v>
      </c>
      <c r="G20" s="24">
        <f>IFERROR(VLOOKUP(F20, Price_Master!$A$2:$C$201, 2, FALSE), "")</f>
        <v>12000</v>
      </c>
      <c r="H20" s="25">
        <f>IFERROR(VLOOKUP(F20, Price_Master!$A$2:$C$201, 3, FALSE), 0)</f>
        <v>0.05</v>
      </c>
      <c r="I20" s="24">
        <f t="shared" si="2"/>
        <v>600</v>
      </c>
    </row>
    <row r="21" spans="1:9" ht="18.75" x14ac:dyDescent="0.3">
      <c r="A21" s="22"/>
      <c r="B21" s="23" t="s">
        <v>99</v>
      </c>
      <c r="C21" s="23" t="s">
        <v>97</v>
      </c>
      <c r="D21" s="23" t="s">
        <v>86</v>
      </c>
      <c r="E21" s="23" t="s">
        <v>89</v>
      </c>
      <c r="F21" s="23" t="s">
        <v>7</v>
      </c>
      <c r="G21" s="24">
        <f>IFERROR(VLOOKUP(F21, Price_Master!$A$2:$C$201, 2, FALSE), "")</f>
        <v>30000</v>
      </c>
      <c r="H21" s="25">
        <f>IFERROR(VLOOKUP(F21, Price_Master!$A$2:$C$201, 3, FALSE), 0)</f>
        <v>0.15</v>
      </c>
      <c r="I21" s="24">
        <f t="shared" si="2"/>
        <v>4500</v>
      </c>
    </row>
    <row r="22" spans="1:9" ht="18.75" x14ac:dyDescent="0.3">
      <c r="A22" s="22"/>
      <c r="B22" s="23"/>
      <c r="C22" s="23"/>
      <c r="D22" s="23"/>
      <c r="E22" s="23" t="s">
        <v>89</v>
      </c>
      <c r="F22" s="23" t="s">
        <v>37</v>
      </c>
      <c r="G22" s="24">
        <f>IFERROR(VLOOKUP(F22, Price_Master!$A$2:$C$201, 2, FALSE), "")</f>
        <v>36000</v>
      </c>
      <c r="H22" s="25">
        <f>IFERROR(VLOOKUP(F22, Price_Master!$A$2:$C$201, 3, FALSE), 0)</f>
        <v>0.15</v>
      </c>
      <c r="I22" s="24">
        <f t="shared" si="2"/>
        <v>5400</v>
      </c>
    </row>
    <row r="23" spans="1:9" ht="18.75" x14ac:dyDescent="0.3">
      <c r="A23" s="22"/>
      <c r="B23" s="23" t="s">
        <v>100</v>
      </c>
      <c r="C23" s="23" t="s">
        <v>101</v>
      </c>
      <c r="D23" s="23" t="s">
        <v>92</v>
      </c>
      <c r="E23" s="23" t="s">
        <v>89</v>
      </c>
      <c r="F23" s="23" t="s">
        <v>50</v>
      </c>
      <c r="G23" s="24">
        <f>IFERROR(VLOOKUP(F23, Price_Master!$A$2:$C$201, 2, FALSE), "")</f>
        <v>7000</v>
      </c>
      <c r="H23" s="25">
        <f>IFERROR(VLOOKUP(F23, Price_Master!$A$2:$C$201, 3, FALSE), 0)</f>
        <v>0.05</v>
      </c>
      <c r="I23" s="24">
        <f t="shared" si="2"/>
        <v>350</v>
      </c>
    </row>
    <row r="24" spans="1:9" ht="18.75" x14ac:dyDescent="0.3">
      <c r="A24" s="22"/>
      <c r="B24" s="23"/>
      <c r="C24" s="23"/>
      <c r="D24" s="23"/>
      <c r="E24" s="23" t="s">
        <v>89</v>
      </c>
      <c r="F24" s="23" t="s">
        <v>22</v>
      </c>
      <c r="G24" s="24">
        <f>IFERROR(VLOOKUP(F24, Price_Master!$A$2:$C$201, 2, FALSE), "")</f>
        <v>7000</v>
      </c>
      <c r="H24" s="25">
        <f>IFERROR(VLOOKUP(F24, Price_Master!$A$2:$C$201, 3, FALSE), 0)</f>
        <v>0.05</v>
      </c>
      <c r="I24" s="24">
        <f t="shared" si="2"/>
        <v>350</v>
      </c>
    </row>
    <row r="25" spans="1:9" ht="18.75" x14ac:dyDescent="0.3">
      <c r="A25" s="22"/>
      <c r="B25" s="23"/>
      <c r="C25" s="23"/>
      <c r="D25" s="23"/>
      <c r="E25" s="23" t="s">
        <v>89</v>
      </c>
      <c r="F25" s="23" t="s">
        <v>21</v>
      </c>
      <c r="G25" s="24">
        <f>IFERROR(VLOOKUP(F25, Price_Master!$A$2:$C$201, 2, FALSE), "")</f>
        <v>10000</v>
      </c>
      <c r="H25" s="25">
        <f>IFERROR(VLOOKUP(F25, Price_Master!$A$2:$C$201, 3, FALSE), 0)</f>
        <v>0.05</v>
      </c>
      <c r="I25" s="24">
        <f t="shared" si="2"/>
        <v>500</v>
      </c>
    </row>
    <row r="26" spans="1:9" ht="18.75" x14ac:dyDescent="0.3">
      <c r="A26" s="22"/>
      <c r="B26" s="23" t="s">
        <v>102</v>
      </c>
      <c r="C26" s="23" t="s">
        <v>103</v>
      </c>
      <c r="D26" s="23" t="s">
        <v>86</v>
      </c>
      <c r="E26" s="23" t="s">
        <v>104</v>
      </c>
      <c r="F26" s="23" t="s">
        <v>8</v>
      </c>
      <c r="G26" s="24">
        <f>IFERROR(VLOOKUP(F26, Price_Master!$A$2:$C$201, 2, FALSE), "")</f>
        <v>12000</v>
      </c>
      <c r="H26" s="25">
        <f>IFERROR(VLOOKUP(F26, Price_Master!$A$2:$C$201, 3, FALSE), 0)</f>
        <v>0.05</v>
      </c>
      <c r="I26" s="24">
        <f t="shared" si="2"/>
        <v>600</v>
      </c>
    </row>
    <row r="27" spans="1:9" ht="18.75" x14ac:dyDescent="0.3">
      <c r="A27" s="22">
        <v>46115</v>
      </c>
      <c r="B27" s="23" t="s">
        <v>105</v>
      </c>
      <c r="C27" s="23" t="s">
        <v>106</v>
      </c>
      <c r="D27" s="23" t="s">
        <v>92</v>
      </c>
      <c r="E27" s="23" t="s">
        <v>107</v>
      </c>
      <c r="F27" s="23" t="s">
        <v>50</v>
      </c>
      <c r="G27" s="24">
        <f>IFERROR(VLOOKUP(F27, Price_Master!$A$2:$C$201, 2, FALSE), "")</f>
        <v>7000</v>
      </c>
      <c r="H27" s="25">
        <f>IFERROR(VLOOKUP(F27, Price_Master!$A$2:$C$201, 3, FALSE), 0)</f>
        <v>0.05</v>
      </c>
      <c r="I27" s="24">
        <f t="shared" ref="I27:I35" si="3">IFERROR(G27*H27, "")</f>
        <v>350</v>
      </c>
    </row>
    <row r="28" spans="1:9" ht="18.75" x14ac:dyDescent="0.3">
      <c r="A28" s="22"/>
      <c r="B28" s="23"/>
      <c r="C28" s="23"/>
      <c r="D28" s="23"/>
      <c r="E28" s="23" t="s">
        <v>107</v>
      </c>
      <c r="F28" s="23" t="s">
        <v>22</v>
      </c>
      <c r="G28" s="24">
        <f>IFERROR(VLOOKUP(F28, Price_Master!$A$2:$C$201, 2, FALSE), "")</f>
        <v>7000</v>
      </c>
      <c r="H28" s="25">
        <f>IFERROR(VLOOKUP(F28, Price_Master!$A$2:$C$201, 3, FALSE), 0)</f>
        <v>0.05</v>
      </c>
      <c r="I28" s="24">
        <f t="shared" si="3"/>
        <v>350</v>
      </c>
    </row>
    <row r="29" spans="1:9" ht="18.75" x14ac:dyDescent="0.3">
      <c r="A29" s="22"/>
      <c r="B29" s="23"/>
      <c r="C29" s="23"/>
      <c r="D29" s="23"/>
      <c r="E29" s="23" t="s">
        <v>107</v>
      </c>
      <c r="F29" s="23" t="s">
        <v>21</v>
      </c>
      <c r="G29" s="24">
        <f>IFERROR(VLOOKUP(F29, Price_Master!$A$2:$C$201, 2, FALSE), "")</f>
        <v>10000</v>
      </c>
      <c r="H29" s="25">
        <f>IFERROR(VLOOKUP(F29, Price_Master!$A$2:$C$201, 3, FALSE), 0)</f>
        <v>0.05</v>
      </c>
      <c r="I29" s="24">
        <f t="shared" si="3"/>
        <v>500</v>
      </c>
    </row>
    <row r="30" spans="1:9" ht="18.75" x14ac:dyDescent="0.3">
      <c r="A30" s="22"/>
      <c r="B30" s="23"/>
      <c r="C30" s="23"/>
      <c r="D30" s="23"/>
      <c r="E30" s="23" t="s">
        <v>107</v>
      </c>
      <c r="F30" s="23" t="s">
        <v>83</v>
      </c>
      <c r="G30" s="24">
        <f>IFERROR(VLOOKUP(F30, Price_Master!$A$2:$C$201, 2, FALSE), "")</f>
        <v>7000</v>
      </c>
      <c r="H30" s="25">
        <f>IFERROR(VLOOKUP(F30, Price_Master!$A$2:$C$201, 3, FALSE), 0)</f>
        <v>0.05</v>
      </c>
      <c r="I30" s="24">
        <f t="shared" si="3"/>
        <v>350</v>
      </c>
    </row>
    <row r="31" spans="1:9" ht="18.75" x14ac:dyDescent="0.3">
      <c r="A31" s="22"/>
      <c r="B31" s="23"/>
      <c r="C31" s="23"/>
      <c r="D31" s="23"/>
      <c r="E31" s="23" t="s">
        <v>107</v>
      </c>
      <c r="F31" s="23" t="s">
        <v>8</v>
      </c>
      <c r="G31" s="24">
        <f>IFERROR(VLOOKUP(F31, Price_Master!$A$2:$C$201, 2, FALSE), "")</f>
        <v>12000</v>
      </c>
      <c r="H31" s="25">
        <f>IFERROR(VLOOKUP(F31, Price_Master!$A$2:$C$201, 3, FALSE), 0)</f>
        <v>0.05</v>
      </c>
      <c r="I31" s="24">
        <f t="shared" si="3"/>
        <v>600</v>
      </c>
    </row>
    <row r="32" spans="1:9" ht="18.75" x14ac:dyDescent="0.3">
      <c r="A32" s="22"/>
      <c r="B32" s="23" t="s">
        <v>108</v>
      </c>
      <c r="C32" s="23" t="s">
        <v>109</v>
      </c>
      <c r="D32" s="23" t="s">
        <v>86</v>
      </c>
      <c r="E32" s="23" t="s">
        <v>89</v>
      </c>
      <c r="F32" s="23" t="s">
        <v>7</v>
      </c>
      <c r="G32" s="24">
        <f>IFERROR(VLOOKUP(F32, Price_Master!$A$2:$C$201, 2, FALSE), "")</f>
        <v>30000</v>
      </c>
      <c r="H32" s="25">
        <f>IFERROR(VLOOKUP(F32, Price_Master!$A$2:$C$201, 3, FALSE), 0)</f>
        <v>0.15</v>
      </c>
      <c r="I32" s="24">
        <f t="shared" si="3"/>
        <v>4500</v>
      </c>
    </row>
    <row r="33" spans="1:9" ht="18.75" x14ac:dyDescent="0.3">
      <c r="A33" s="22"/>
      <c r="B33" s="23"/>
      <c r="C33" s="23"/>
      <c r="D33" s="23"/>
      <c r="E33" s="23" t="s">
        <v>89</v>
      </c>
      <c r="F33" s="23" t="s">
        <v>14</v>
      </c>
      <c r="G33" s="24">
        <f>IFERROR(VLOOKUP(F33, Price_Master!$A$2:$C$201, 2, FALSE), "")</f>
        <v>7000</v>
      </c>
      <c r="H33" s="25">
        <f>IFERROR(VLOOKUP(F33, Price_Master!$A$2:$C$201, 3, FALSE), 0)</f>
        <v>0.15</v>
      </c>
      <c r="I33" s="24">
        <f t="shared" si="3"/>
        <v>1050</v>
      </c>
    </row>
    <row r="34" spans="1:9" ht="18.75" x14ac:dyDescent="0.3">
      <c r="A34" s="22"/>
      <c r="B34" s="23"/>
      <c r="C34" s="23"/>
      <c r="D34" s="23"/>
      <c r="E34" s="23" t="s">
        <v>89</v>
      </c>
      <c r="F34" s="23" t="s">
        <v>60</v>
      </c>
      <c r="G34" s="24">
        <f>IFERROR(VLOOKUP(F34, Price_Master!$A$2:$C$201, 2, FALSE), "")</f>
        <v>25000</v>
      </c>
      <c r="H34" s="25">
        <f>IFERROR(VLOOKUP(F34, Price_Master!$A$2:$C$201, 3, FALSE), 0)</f>
        <v>0.05</v>
      </c>
      <c r="I34" s="24">
        <f t="shared" si="3"/>
        <v>1250</v>
      </c>
    </row>
    <row r="35" spans="1:9" ht="18.75" x14ac:dyDescent="0.3">
      <c r="A35" s="22"/>
      <c r="B35" s="23"/>
      <c r="C35" s="23"/>
      <c r="D35" s="23"/>
      <c r="E35" s="23" t="s">
        <v>89</v>
      </c>
      <c r="F35" s="23" t="s">
        <v>17</v>
      </c>
      <c r="G35" s="24">
        <f>IFERROR(VLOOKUP(F35, Price_Master!$A$2:$C$201, 2, FALSE), "")</f>
        <v>12000</v>
      </c>
      <c r="H35" s="25">
        <f>IFERROR(VLOOKUP(F35, Price_Master!$A$2:$C$201, 3, FALSE), 0)</f>
        <v>0.05</v>
      </c>
      <c r="I35" s="24">
        <f t="shared" si="3"/>
        <v>600</v>
      </c>
    </row>
    <row r="36" spans="1:9" ht="18.75" x14ac:dyDescent="0.3">
      <c r="A36" s="22">
        <v>46116</v>
      </c>
      <c r="B36" s="23" t="s">
        <v>110</v>
      </c>
      <c r="C36" s="23" t="s">
        <v>111</v>
      </c>
      <c r="D36" s="23" t="s">
        <v>86</v>
      </c>
      <c r="E36" s="23" t="s">
        <v>82</v>
      </c>
      <c r="F36" s="23" t="s">
        <v>19</v>
      </c>
      <c r="G36" s="24">
        <f>IFERROR(VLOOKUP(F36, Price_Master!$A$2:$C$201, 2, FALSE), "")</f>
        <v>15000</v>
      </c>
      <c r="H36" s="25">
        <f>IFERROR(VLOOKUP(F36, Price_Master!$A$2:$C$201, 3, FALSE), 0)</f>
        <v>0.05</v>
      </c>
      <c r="I36" s="24">
        <f t="shared" ref="I36:I42" si="4">IFERROR(G36*H36, "")</f>
        <v>750</v>
      </c>
    </row>
    <row r="37" spans="1:9" ht="18.75" x14ac:dyDescent="0.3">
      <c r="A37" s="22"/>
      <c r="B37" s="23" t="s">
        <v>112</v>
      </c>
      <c r="C37" s="23" t="s">
        <v>106</v>
      </c>
      <c r="D37" s="23" t="s">
        <v>86</v>
      </c>
      <c r="E37" s="23" t="s">
        <v>82</v>
      </c>
      <c r="F37" s="23" t="s">
        <v>50</v>
      </c>
      <c r="G37" s="24">
        <f>IFERROR(VLOOKUP(F37, Price_Master!$A$2:$C$201, 2, FALSE), "")</f>
        <v>7000</v>
      </c>
      <c r="H37" s="25">
        <f>IFERROR(VLOOKUP(F37, Price_Master!$A$2:$C$201, 3, FALSE), 0)</f>
        <v>0.05</v>
      </c>
      <c r="I37" s="24">
        <f t="shared" si="4"/>
        <v>350</v>
      </c>
    </row>
    <row r="38" spans="1:9" ht="18.75" x14ac:dyDescent="0.3">
      <c r="A38" s="22"/>
      <c r="B38" s="23"/>
      <c r="C38" s="23"/>
      <c r="D38" s="23"/>
      <c r="E38" s="23" t="s">
        <v>82</v>
      </c>
      <c r="F38" s="23" t="s">
        <v>22</v>
      </c>
      <c r="G38" s="24">
        <f>IFERROR(VLOOKUP(F38, Price_Master!$A$2:$C$201, 2, FALSE), "")</f>
        <v>7000</v>
      </c>
      <c r="H38" s="25">
        <f>IFERROR(VLOOKUP(F38, Price_Master!$A$2:$C$201, 3, FALSE), 0)</f>
        <v>0.05</v>
      </c>
      <c r="I38" s="24">
        <f t="shared" si="4"/>
        <v>350</v>
      </c>
    </row>
    <row r="39" spans="1:9" ht="18.75" x14ac:dyDescent="0.3">
      <c r="A39" s="22"/>
      <c r="B39" s="23"/>
      <c r="C39" s="23"/>
      <c r="D39" s="23"/>
      <c r="E39" s="23" t="s">
        <v>82</v>
      </c>
      <c r="F39" s="23" t="s">
        <v>21</v>
      </c>
      <c r="G39" s="24">
        <f>IFERROR(VLOOKUP(F39, Price_Master!$A$2:$C$201, 2, FALSE), "")</f>
        <v>10000</v>
      </c>
      <c r="H39" s="25">
        <f>IFERROR(VLOOKUP(F39, Price_Master!$A$2:$C$201, 3, FALSE), 0)</f>
        <v>0.05</v>
      </c>
      <c r="I39" s="24">
        <f t="shared" si="4"/>
        <v>500</v>
      </c>
    </row>
    <row r="40" spans="1:9" ht="18.75" x14ac:dyDescent="0.3">
      <c r="A40" s="22"/>
      <c r="B40" s="23"/>
      <c r="C40" s="23"/>
      <c r="D40" s="23"/>
      <c r="E40" s="23" t="s">
        <v>82</v>
      </c>
      <c r="F40" s="23" t="s">
        <v>83</v>
      </c>
      <c r="G40" s="24">
        <f>IFERROR(VLOOKUP(F40, Price_Master!$A$2:$C$201, 2, FALSE), "")</f>
        <v>7000</v>
      </c>
      <c r="H40" s="25">
        <f>IFERROR(VLOOKUP(F40, Price_Master!$A$2:$C$201, 3, FALSE), 0)</f>
        <v>0.05</v>
      </c>
      <c r="I40" s="24">
        <f t="shared" si="4"/>
        <v>350</v>
      </c>
    </row>
    <row r="41" spans="1:9" ht="18.75" x14ac:dyDescent="0.3">
      <c r="A41" s="22"/>
      <c r="B41" s="23" t="s">
        <v>113</v>
      </c>
      <c r="C41" s="23" t="s">
        <v>114</v>
      </c>
      <c r="D41" s="23" t="s">
        <v>86</v>
      </c>
      <c r="E41" s="23" t="s">
        <v>115</v>
      </c>
      <c r="F41" s="23" t="s">
        <v>49</v>
      </c>
      <c r="G41" s="24">
        <f>IFERROR(VLOOKUP(F41, Price_Master!$A$2:$C$201, 2, FALSE), "")</f>
        <v>10000</v>
      </c>
      <c r="H41" s="25">
        <f>IFERROR(VLOOKUP(F41, Price_Master!$A$2:$C$201, 3, FALSE), 0)</f>
        <v>0.15</v>
      </c>
      <c r="I41" s="24">
        <f t="shared" si="4"/>
        <v>1500</v>
      </c>
    </row>
    <row r="42" spans="1:9" ht="18.75" x14ac:dyDescent="0.3">
      <c r="A42" s="22"/>
      <c r="B42" s="23"/>
      <c r="C42" s="23"/>
      <c r="D42" s="23"/>
      <c r="E42" s="23" t="s">
        <v>115</v>
      </c>
      <c r="F42" s="23" t="s">
        <v>15</v>
      </c>
      <c r="G42" s="24">
        <f>IFERROR(VLOOKUP(F42, Price_Master!$A$2:$C$201, 2, FALSE), "")</f>
        <v>30000</v>
      </c>
      <c r="H42" s="25">
        <f>IFERROR(VLOOKUP(F42, Price_Master!$A$2:$C$201, 3, FALSE), 0)</f>
        <v>0.15</v>
      </c>
      <c r="I42" s="24">
        <f t="shared" si="4"/>
        <v>4500</v>
      </c>
    </row>
    <row r="43" spans="1:9" ht="18.75" x14ac:dyDescent="0.3">
      <c r="A43" s="22">
        <v>46117</v>
      </c>
      <c r="B43" s="23" t="s">
        <v>116</v>
      </c>
      <c r="C43" s="23" t="s">
        <v>91</v>
      </c>
      <c r="D43" s="23" t="s">
        <v>86</v>
      </c>
      <c r="E43" s="23" t="s">
        <v>117</v>
      </c>
      <c r="F43" s="23" t="s">
        <v>15</v>
      </c>
      <c r="G43" s="24">
        <f>IFERROR(VLOOKUP(F43, Price_Master!$A$2:$C$201, 2, FALSE), "")</f>
        <v>30000</v>
      </c>
      <c r="H43" s="25">
        <f>IFERROR(VLOOKUP(F43, Price_Master!$A$2:$C$201, 3, FALSE), 0)</f>
        <v>0.15</v>
      </c>
      <c r="I43" s="24">
        <f t="shared" ref="I43:I53" si="5">IFERROR(G43*H43, "")</f>
        <v>4500</v>
      </c>
    </row>
    <row r="44" spans="1:9" ht="18.75" x14ac:dyDescent="0.3">
      <c r="A44" s="22"/>
      <c r="B44" s="23" t="s">
        <v>118</v>
      </c>
      <c r="C44" s="23" t="s">
        <v>119</v>
      </c>
      <c r="D44" s="23" t="s">
        <v>86</v>
      </c>
      <c r="E44" s="23" t="s">
        <v>120</v>
      </c>
      <c r="F44" s="23" t="s">
        <v>10</v>
      </c>
      <c r="G44" s="24">
        <f>IFERROR(VLOOKUP(F44, Price_Master!$A$2:$C$201, 2, FALSE), "")</f>
        <v>10000</v>
      </c>
      <c r="H44" s="25">
        <f>IFERROR(VLOOKUP(F44, Price_Master!$A$2:$C$201, 3, FALSE), 0)</f>
        <v>0.15</v>
      </c>
      <c r="I44" s="24">
        <f t="shared" si="5"/>
        <v>1500</v>
      </c>
    </row>
    <row r="45" spans="1:9" ht="18.75" x14ac:dyDescent="0.3">
      <c r="A45" s="22"/>
      <c r="B45" s="23"/>
      <c r="C45" s="23"/>
      <c r="D45" s="23"/>
      <c r="E45" s="23" t="s">
        <v>120</v>
      </c>
      <c r="F45" s="23" t="s">
        <v>47</v>
      </c>
      <c r="G45" s="24">
        <f>IFERROR(VLOOKUP(F45, Price_Master!$A$2:$C$201, 2, FALSE), "")</f>
        <v>30000</v>
      </c>
      <c r="H45" s="25">
        <f>IFERROR(VLOOKUP(F45, Price_Master!$A$2:$C$201, 3, FALSE), 0)</f>
        <v>0.05</v>
      </c>
      <c r="I45" s="24">
        <f t="shared" si="5"/>
        <v>1500</v>
      </c>
    </row>
    <row r="46" spans="1:9" ht="18.75" x14ac:dyDescent="0.3">
      <c r="A46" s="22"/>
      <c r="B46" s="23"/>
      <c r="C46" s="23"/>
      <c r="D46" s="23"/>
      <c r="E46" s="23" t="s">
        <v>120</v>
      </c>
      <c r="F46" s="23" t="s">
        <v>53</v>
      </c>
      <c r="G46" s="24">
        <f>IFERROR(VLOOKUP(F46, Price_Master!$A$2:$C$201, 2, FALSE), "")</f>
        <v>10000</v>
      </c>
      <c r="H46" s="25">
        <f>IFERROR(VLOOKUP(F46, Price_Master!$A$2:$C$201, 3, FALSE), 0)</f>
        <v>0.05</v>
      </c>
      <c r="I46" s="24">
        <f t="shared" si="5"/>
        <v>500</v>
      </c>
    </row>
    <row r="47" spans="1:9" ht="18.75" x14ac:dyDescent="0.3">
      <c r="A47" s="22"/>
      <c r="B47" s="23" t="s">
        <v>121</v>
      </c>
      <c r="C47" s="23" t="s">
        <v>122</v>
      </c>
      <c r="D47" s="23" t="s">
        <v>92</v>
      </c>
      <c r="E47" s="23" t="s">
        <v>123</v>
      </c>
      <c r="F47" s="23" t="s">
        <v>7</v>
      </c>
      <c r="G47" s="24">
        <f>IFERROR(VLOOKUP(F47, Price_Master!$A$2:$C$201, 2, FALSE), "")</f>
        <v>30000</v>
      </c>
      <c r="H47" s="25">
        <f>IFERROR(VLOOKUP(F47, Price_Master!$A$2:$C$201, 3, FALSE), 0)</f>
        <v>0.15</v>
      </c>
      <c r="I47" s="24">
        <f t="shared" si="5"/>
        <v>4500</v>
      </c>
    </row>
    <row r="48" spans="1:9" ht="18.75" x14ac:dyDescent="0.3">
      <c r="A48" s="22"/>
      <c r="B48" s="23"/>
      <c r="C48" s="23"/>
      <c r="D48" s="23"/>
      <c r="E48" s="23" t="s">
        <v>123</v>
      </c>
      <c r="F48" s="23" t="s">
        <v>8</v>
      </c>
      <c r="G48" s="24">
        <f>IFERROR(VLOOKUP(F48, Price_Master!$A$2:$C$201, 2, FALSE), "")</f>
        <v>12000</v>
      </c>
      <c r="H48" s="25">
        <f>IFERROR(VLOOKUP(F48, Price_Master!$A$2:$C$201, 3, FALSE), 0)</f>
        <v>0.05</v>
      </c>
      <c r="I48" s="24">
        <f t="shared" si="5"/>
        <v>600</v>
      </c>
    </row>
    <row r="49" spans="1:9" ht="18.75" x14ac:dyDescent="0.3">
      <c r="A49" s="22"/>
      <c r="B49" s="23"/>
      <c r="C49" s="23"/>
      <c r="D49" s="23"/>
      <c r="E49" s="23" t="s">
        <v>123</v>
      </c>
      <c r="F49" s="23" t="s">
        <v>9</v>
      </c>
      <c r="G49" s="24">
        <f>IFERROR(VLOOKUP(F49, Price_Master!$A$2:$C$201, 2, FALSE), "")</f>
        <v>25000</v>
      </c>
      <c r="H49" s="25">
        <f>IFERROR(VLOOKUP(F49, Price_Master!$A$2:$C$201, 3, FALSE), 0)</f>
        <v>0.05</v>
      </c>
      <c r="I49" s="24">
        <f t="shared" si="5"/>
        <v>1250</v>
      </c>
    </row>
    <row r="50" spans="1:9" ht="18.75" x14ac:dyDescent="0.3">
      <c r="A50" s="22"/>
      <c r="B50" s="23"/>
      <c r="C50" s="23"/>
      <c r="D50" s="23"/>
      <c r="E50" s="23" t="s">
        <v>123</v>
      </c>
      <c r="F50" s="23" t="s">
        <v>56</v>
      </c>
      <c r="G50" s="24">
        <f>IFERROR(VLOOKUP(F50, Price_Master!$A$2:$C$201, 2, FALSE), "")</f>
        <v>10000</v>
      </c>
      <c r="H50" s="25">
        <f>IFERROR(VLOOKUP(F50, Price_Master!$A$2:$C$201, 3, FALSE), 0)</f>
        <v>0.15</v>
      </c>
      <c r="I50" s="24">
        <f t="shared" si="5"/>
        <v>1500</v>
      </c>
    </row>
    <row r="51" spans="1:9" ht="18.75" x14ac:dyDescent="0.3">
      <c r="A51" s="22"/>
      <c r="B51" s="23"/>
      <c r="C51" s="23"/>
      <c r="D51" s="23"/>
      <c r="E51" s="23" t="s">
        <v>123</v>
      </c>
      <c r="F51" s="23" t="s">
        <v>49</v>
      </c>
      <c r="G51" s="24">
        <f>IFERROR(VLOOKUP(F51, Price_Master!$A$2:$C$201, 2, FALSE), "")</f>
        <v>10000</v>
      </c>
      <c r="H51" s="25">
        <f>IFERROR(VLOOKUP(F51, Price_Master!$A$2:$C$201, 3, FALSE), 0)</f>
        <v>0.15</v>
      </c>
      <c r="I51" s="24">
        <f t="shared" si="5"/>
        <v>1500</v>
      </c>
    </row>
    <row r="52" spans="1:9" ht="18.75" x14ac:dyDescent="0.3">
      <c r="A52" s="22"/>
      <c r="B52" s="23"/>
      <c r="C52" s="23"/>
      <c r="D52" s="23"/>
      <c r="E52" s="23" t="s">
        <v>123</v>
      </c>
      <c r="F52" s="23" t="s">
        <v>15</v>
      </c>
      <c r="G52" s="24">
        <f>IFERROR(VLOOKUP(F52, Price_Master!$A$2:$C$201, 2, FALSE), "")</f>
        <v>30000</v>
      </c>
      <c r="H52" s="25">
        <f>IFERROR(VLOOKUP(F52, Price_Master!$A$2:$C$201, 3, FALSE), 0)</f>
        <v>0.15</v>
      </c>
      <c r="I52" s="24">
        <f t="shared" si="5"/>
        <v>4500</v>
      </c>
    </row>
    <row r="53" spans="1:9" ht="18.75" x14ac:dyDescent="0.3">
      <c r="A53" s="22"/>
      <c r="B53" s="23"/>
      <c r="C53" s="23"/>
      <c r="D53" s="23"/>
      <c r="E53" s="23" t="s">
        <v>123</v>
      </c>
      <c r="F53" s="23" t="s">
        <v>11</v>
      </c>
      <c r="G53" s="24">
        <f>IFERROR(VLOOKUP(F53, Price_Master!$A$2:$C$201, 2, FALSE), "")</f>
        <v>36000</v>
      </c>
      <c r="H53" s="25">
        <f>IFERROR(VLOOKUP(F53, Price_Master!$A$2:$C$201, 3, FALSE), 0)</f>
        <v>0.15</v>
      </c>
      <c r="I53" s="24">
        <f t="shared" si="5"/>
        <v>5400</v>
      </c>
    </row>
    <row r="54" spans="1:9" ht="18.75" x14ac:dyDescent="0.3">
      <c r="A54" s="22">
        <v>46119</v>
      </c>
      <c r="B54" s="23" t="s">
        <v>124</v>
      </c>
      <c r="C54" s="23" t="s">
        <v>125</v>
      </c>
      <c r="D54" s="23" t="s">
        <v>86</v>
      </c>
      <c r="E54" s="23" t="s">
        <v>115</v>
      </c>
      <c r="F54" s="23" t="s">
        <v>7</v>
      </c>
      <c r="G54" s="24">
        <f>IFERROR(VLOOKUP(F54, Price_Master!$A$2:$C$201, 2, FALSE), "")</f>
        <v>30000</v>
      </c>
      <c r="H54" s="25">
        <f>IFERROR(VLOOKUP(F54, Price_Master!$A$2:$C$201, 3, FALSE), 0)</f>
        <v>0.15</v>
      </c>
      <c r="I54" s="24">
        <f t="shared" ref="I54:I61" si="6">IFERROR(G54*H54, "")</f>
        <v>4500</v>
      </c>
    </row>
    <row r="55" spans="1:9" ht="18.75" x14ac:dyDescent="0.3">
      <c r="A55" s="22"/>
      <c r="B55" s="23"/>
      <c r="C55" s="23"/>
      <c r="D55" s="23"/>
      <c r="E55" s="23" t="s">
        <v>115</v>
      </c>
      <c r="F55" s="23" t="s">
        <v>13</v>
      </c>
      <c r="G55" s="24">
        <f>IFERROR(VLOOKUP(F55, Price_Master!$A$2:$C$201, 2, FALSE), "")</f>
        <v>10000</v>
      </c>
      <c r="H55" s="25">
        <f>IFERROR(VLOOKUP(F55, Price_Master!$A$2:$C$201, 3, FALSE), 0)</f>
        <v>0.15</v>
      </c>
      <c r="I55" s="24">
        <f t="shared" si="6"/>
        <v>1500</v>
      </c>
    </row>
    <row r="56" spans="1:9" ht="18.75" x14ac:dyDescent="0.3">
      <c r="A56" s="22"/>
      <c r="B56" s="23"/>
      <c r="C56" s="23"/>
      <c r="D56" s="23"/>
      <c r="E56" s="23" t="s">
        <v>115</v>
      </c>
      <c r="F56" s="23" t="s">
        <v>8</v>
      </c>
      <c r="G56" s="24">
        <f>IFERROR(VLOOKUP(F56, Price_Master!$A$2:$C$201, 2, FALSE), "")</f>
        <v>12000</v>
      </c>
      <c r="H56" s="25">
        <f>IFERROR(VLOOKUP(F56, Price_Master!$A$2:$C$201, 3, FALSE), 0)</f>
        <v>0.05</v>
      </c>
      <c r="I56" s="24">
        <f t="shared" si="6"/>
        <v>600</v>
      </c>
    </row>
    <row r="57" spans="1:9" ht="18.75" x14ac:dyDescent="0.3">
      <c r="A57" s="22"/>
      <c r="B57" s="23"/>
      <c r="C57" s="23"/>
      <c r="D57" s="23"/>
      <c r="E57" s="23" t="s">
        <v>115</v>
      </c>
      <c r="F57" s="23" t="s">
        <v>49</v>
      </c>
      <c r="G57" s="24">
        <f>IFERROR(VLOOKUP(F57, Price_Master!$A$2:$C$201, 2, FALSE), "")</f>
        <v>10000</v>
      </c>
      <c r="H57" s="25">
        <f>IFERROR(VLOOKUP(F57, Price_Master!$A$2:$C$201, 3, FALSE), 0)</f>
        <v>0.15</v>
      </c>
      <c r="I57" s="24">
        <f t="shared" si="6"/>
        <v>1500</v>
      </c>
    </row>
    <row r="58" spans="1:9" ht="18.75" x14ac:dyDescent="0.3">
      <c r="A58" s="22"/>
      <c r="B58" s="23"/>
      <c r="C58" s="23"/>
      <c r="D58" s="23"/>
      <c r="E58" s="23" t="s">
        <v>115</v>
      </c>
      <c r="F58" s="23" t="s">
        <v>15</v>
      </c>
      <c r="G58" s="24">
        <f>IFERROR(VLOOKUP(F58, Price_Master!$A$2:$C$201, 2, FALSE), "")</f>
        <v>30000</v>
      </c>
      <c r="H58" s="25">
        <f>IFERROR(VLOOKUP(F58, Price_Master!$A$2:$C$201, 3, FALSE), 0)</f>
        <v>0.15</v>
      </c>
      <c r="I58" s="24">
        <f t="shared" si="6"/>
        <v>4500</v>
      </c>
    </row>
    <row r="59" spans="1:9" ht="18.75" x14ac:dyDescent="0.3">
      <c r="A59" s="22"/>
      <c r="B59" s="23"/>
      <c r="C59" s="23"/>
      <c r="D59" s="23"/>
      <c r="E59" s="23" t="s">
        <v>115</v>
      </c>
      <c r="F59" s="23" t="s">
        <v>37</v>
      </c>
      <c r="G59" s="24">
        <f>IFERROR(VLOOKUP(F59, Price_Master!$A$2:$C$201, 2, FALSE), "")</f>
        <v>36000</v>
      </c>
      <c r="H59" s="25">
        <f>IFERROR(VLOOKUP(F59, Price_Master!$A$2:$C$201, 3, FALSE), 0)</f>
        <v>0.15</v>
      </c>
      <c r="I59" s="24">
        <f t="shared" si="6"/>
        <v>5400</v>
      </c>
    </row>
    <row r="60" spans="1:9" ht="18.75" x14ac:dyDescent="0.3">
      <c r="A60" s="22"/>
      <c r="B60" s="23" t="s">
        <v>126</v>
      </c>
      <c r="C60" s="23" t="s">
        <v>127</v>
      </c>
      <c r="D60" s="23" t="s">
        <v>86</v>
      </c>
      <c r="E60" s="23" t="s">
        <v>128</v>
      </c>
      <c r="F60" s="23" t="s">
        <v>7</v>
      </c>
      <c r="G60" s="24">
        <f>IFERROR(VLOOKUP(F60, Price_Master!$A$2:$C$201, 2, FALSE), "")</f>
        <v>30000</v>
      </c>
      <c r="H60" s="25">
        <f>IFERROR(VLOOKUP(F60, Price_Master!$A$2:$C$201, 3, FALSE), 0)</f>
        <v>0.15</v>
      </c>
      <c r="I60" s="24">
        <f t="shared" si="6"/>
        <v>4500</v>
      </c>
    </row>
    <row r="61" spans="1:9" ht="18.75" x14ac:dyDescent="0.3">
      <c r="A61" s="22"/>
      <c r="B61" s="23"/>
      <c r="C61" s="23"/>
      <c r="D61" s="23"/>
      <c r="E61" s="23" t="s">
        <v>128</v>
      </c>
      <c r="F61" s="23" t="s">
        <v>21</v>
      </c>
      <c r="G61" s="24">
        <f>IFERROR(VLOOKUP(F61, Price_Master!$A$2:$C$201, 2, FALSE), "")</f>
        <v>10000</v>
      </c>
      <c r="H61" s="25">
        <f>IFERROR(VLOOKUP(F61, Price_Master!$A$2:$C$201, 3, FALSE), 0)</f>
        <v>0.05</v>
      </c>
      <c r="I61" s="24">
        <f t="shared" si="6"/>
        <v>500</v>
      </c>
    </row>
    <row r="62" spans="1:9" ht="18.75" x14ac:dyDescent="0.3">
      <c r="A62" s="22">
        <v>46120</v>
      </c>
      <c r="B62" s="23" t="s">
        <v>129</v>
      </c>
      <c r="C62" s="23" t="s">
        <v>130</v>
      </c>
      <c r="D62" s="23" t="s">
        <v>86</v>
      </c>
      <c r="E62" s="23" t="s">
        <v>128</v>
      </c>
      <c r="F62" s="23" t="s">
        <v>57</v>
      </c>
      <c r="G62" s="24">
        <f>IFERROR(VLOOKUP(F62, Price_Master!$A$2:$C$201, 2, FALSE), "")</f>
        <v>10000</v>
      </c>
      <c r="H62" s="25">
        <f>IFERROR(VLOOKUP(F62, Price_Master!$A$2:$C$201, 3, FALSE), 0)</f>
        <v>0.05</v>
      </c>
      <c r="I62" s="24">
        <f t="shared" ref="I62:I69" si="7">IFERROR(G62*H62, "")</f>
        <v>500</v>
      </c>
    </row>
    <row r="63" spans="1:9" ht="18.75" x14ac:dyDescent="0.3">
      <c r="A63" s="22"/>
      <c r="B63" s="23"/>
      <c r="C63" s="23"/>
      <c r="D63" s="23"/>
      <c r="E63" s="23" t="s">
        <v>128</v>
      </c>
      <c r="F63" s="23" t="s">
        <v>58</v>
      </c>
      <c r="G63" s="24">
        <f>IFERROR(VLOOKUP(F63, Price_Master!$A$2:$C$201, 2, FALSE), "")</f>
        <v>12000</v>
      </c>
      <c r="H63" s="25">
        <f>IFERROR(VLOOKUP(F63, Price_Master!$A$2:$C$201, 3, FALSE), 0)</f>
        <v>0.05</v>
      </c>
      <c r="I63" s="24">
        <f t="shared" si="7"/>
        <v>600</v>
      </c>
    </row>
    <row r="64" spans="1:9" ht="18.75" x14ac:dyDescent="0.3">
      <c r="A64" s="22">
        <v>46121</v>
      </c>
      <c r="B64" s="23" t="s">
        <v>131</v>
      </c>
      <c r="C64" s="23" t="s">
        <v>132</v>
      </c>
      <c r="D64" s="23" t="s">
        <v>86</v>
      </c>
      <c r="E64" s="23" t="s">
        <v>123</v>
      </c>
      <c r="F64" s="23" t="s">
        <v>8</v>
      </c>
      <c r="G64" s="24">
        <f>IFERROR(VLOOKUP(F64, Price_Master!$A$2:$C$201, 2, FALSE), "")</f>
        <v>12000</v>
      </c>
      <c r="H64" s="25">
        <f>IFERROR(VLOOKUP(F64, Price_Master!$A$2:$C$201, 3, FALSE), 0)</f>
        <v>0.05</v>
      </c>
      <c r="I64" s="24">
        <f t="shared" si="7"/>
        <v>600</v>
      </c>
    </row>
    <row r="65" spans="1:9" ht="18.75" x14ac:dyDescent="0.3">
      <c r="A65" s="22"/>
      <c r="B65" s="23"/>
      <c r="C65" s="23"/>
      <c r="D65" s="23"/>
      <c r="E65" s="23" t="s">
        <v>123</v>
      </c>
      <c r="F65" s="23" t="s">
        <v>49</v>
      </c>
      <c r="G65" s="24">
        <f>IFERROR(VLOOKUP(F65, Price_Master!$A$2:$C$201, 2, FALSE), "")</f>
        <v>10000</v>
      </c>
      <c r="H65" s="25">
        <f>IFERROR(VLOOKUP(F65, Price_Master!$A$2:$C$201, 3, FALSE), 0)</f>
        <v>0.15</v>
      </c>
      <c r="I65" s="24">
        <f t="shared" si="7"/>
        <v>1500</v>
      </c>
    </row>
    <row r="66" spans="1:9" ht="18.75" x14ac:dyDescent="0.3">
      <c r="A66" s="22"/>
      <c r="B66" s="23"/>
      <c r="C66" s="23"/>
      <c r="D66" s="23"/>
      <c r="E66" s="23" t="s">
        <v>123</v>
      </c>
      <c r="F66" s="23" t="s">
        <v>10</v>
      </c>
      <c r="G66" s="24">
        <f>IFERROR(VLOOKUP(F66, Price_Master!$A$2:$C$201, 2, FALSE), "")</f>
        <v>10000</v>
      </c>
      <c r="H66" s="25">
        <f>IFERROR(VLOOKUP(F66, Price_Master!$A$2:$C$201, 3, FALSE), 0)</f>
        <v>0.15</v>
      </c>
      <c r="I66" s="24">
        <f t="shared" si="7"/>
        <v>1500</v>
      </c>
    </row>
    <row r="67" spans="1:9" ht="18.75" x14ac:dyDescent="0.3">
      <c r="A67" s="22"/>
      <c r="B67" s="23"/>
      <c r="C67" s="23"/>
      <c r="D67" s="23"/>
      <c r="E67" s="23" t="s">
        <v>123</v>
      </c>
      <c r="F67" s="23" t="s">
        <v>15</v>
      </c>
      <c r="G67" s="24">
        <f>IFERROR(VLOOKUP(F67, Price_Master!$A$2:$C$201, 2, FALSE), "")</f>
        <v>30000</v>
      </c>
      <c r="H67" s="25">
        <f>IFERROR(VLOOKUP(F67, Price_Master!$A$2:$C$201, 3, FALSE), 0)</f>
        <v>0.15</v>
      </c>
      <c r="I67" s="24">
        <f t="shared" si="7"/>
        <v>4500</v>
      </c>
    </row>
    <row r="68" spans="1:9" ht="18.75" x14ac:dyDescent="0.3">
      <c r="A68" s="22"/>
      <c r="B68" s="23"/>
      <c r="C68" s="23"/>
      <c r="D68" s="23"/>
      <c r="E68" s="23" t="s">
        <v>123</v>
      </c>
      <c r="F68" s="23" t="s">
        <v>72</v>
      </c>
      <c r="G68" s="24">
        <f>IFERROR(VLOOKUP(F68, Price_Master!$A$2:$C$201, 2, FALSE), "")</f>
        <v>30000</v>
      </c>
      <c r="H68" s="25">
        <f>IFERROR(VLOOKUP(F68, Price_Master!$A$2:$C$201, 3, FALSE), 0)</f>
        <v>0</v>
      </c>
      <c r="I68" s="24">
        <f t="shared" si="7"/>
        <v>0</v>
      </c>
    </row>
    <row r="69" spans="1:9" ht="18.75" x14ac:dyDescent="0.3">
      <c r="A69" s="22"/>
      <c r="B69" s="23" t="s">
        <v>133</v>
      </c>
      <c r="C69" s="23" t="s">
        <v>103</v>
      </c>
      <c r="D69" s="23" t="s">
        <v>86</v>
      </c>
      <c r="E69" s="23" t="s">
        <v>128</v>
      </c>
      <c r="F69" s="23" t="s">
        <v>8</v>
      </c>
      <c r="G69" s="24">
        <f>IFERROR(VLOOKUP(F69, Price_Master!$A$2:$C$201, 2, FALSE), "")</f>
        <v>12000</v>
      </c>
      <c r="H69" s="25">
        <f>IFERROR(VLOOKUP(F69, Price_Master!$A$2:$C$201, 3, FALSE), 0)</f>
        <v>0.05</v>
      </c>
      <c r="I69" s="24">
        <f t="shared" si="7"/>
        <v>600</v>
      </c>
    </row>
    <row r="70" spans="1:9" ht="18.75" x14ac:dyDescent="0.3">
      <c r="A70" s="22">
        <v>46122</v>
      </c>
      <c r="B70" s="23" t="s">
        <v>134</v>
      </c>
      <c r="C70" s="23" t="s">
        <v>135</v>
      </c>
      <c r="D70" s="23" t="s">
        <v>86</v>
      </c>
      <c r="E70" s="23" t="s">
        <v>89</v>
      </c>
      <c r="F70" s="23" t="s">
        <v>38</v>
      </c>
      <c r="G70" s="24">
        <f>IFERROR(VLOOKUP(F70, Price_Master!$A$2:$C$201, 2, FALSE), "")</f>
        <v>10000</v>
      </c>
      <c r="H70" s="25">
        <f>IFERROR(VLOOKUP(F70, Price_Master!$A$2:$C$201, 3, FALSE), 0)</f>
        <v>0.15</v>
      </c>
      <c r="I70" s="24">
        <f t="shared" ref="I70:I81" si="8">IFERROR(G70*H70, "")</f>
        <v>1500</v>
      </c>
    </row>
    <row r="71" spans="1:9" ht="18.75" x14ac:dyDescent="0.3">
      <c r="A71" s="22"/>
      <c r="B71" s="23"/>
      <c r="C71" s="23"/>
      <c r="D71" s="23"/>
      <c r="E71" s="23" t="s">
        <v>89</v>
      </c>
      <c r="F71" s="23" t="s">
        <v>44</v>
      </c>
      <c r="G71" s="24">
        <f>IFERROR(VLOOKUP(F71, Price_Master!$A$2:$C$201, 2, FALSE), "")</f>
        <v>25000</v>
      </c>
      <c r="H71" s="25">
        <f>IFERROR(VLOOKUP(F71, Price_Master!$A$2:$C$201, 3, FALSE), 0)</f>
        <v>0.05</v>
      </c>
      <c r="I71" s="24">
        <f t="shared" si="8"/>
        <v>1250</v>
      </c>
    </row>
    <row r="72" spans="1:9" ht="18.75" x14ac:dyDescent="0.3">
      <c r="A72" s="22"/>
      <c r="B72" s="23"/>
      <c r="C72" s="23"/>
      <c r="D72" s="23"/>
      <c r="E72" s="23" t="s">
        <v>89</v>
      </c>
      <c r="F72" s="23" t="s">
        <v>43</v>
      </c>
      <c r="G72" s="24">
        <f>IFERROR(VLOOKUP(F72, Price_Master!$A$2:$C$201, 2, FALSE), "")</f>
        <v>20000</v>
      </c>
      <c r="H72" s="25">
        <f>IFERROR(VLOOKUP(F72, Price_Master!$A$2:$C$201, 3, FALSE), 0)</f>
        <v>0.05</v>
      </c>
      <c r="I72" s="24">
        <f t="shared" si="8"/>
        <v>1000</v>
      </c>
    </row>
    <row r="73" spans="1:9" ht="18.75" x14ac:dyDescent="0.3">
      <c r="A73" s="22"/>
      <c r="B73" s="23" t="s">
        <v>136</v>
      </c>
      <c r="C73" s="23" t="s">
        <v>91</v>
      </c>
      <c r="D73" s="23" t="s">
        <v>92</v>
      </c>
      <c r="E73" s="23" t="s">
        <v>137</v>
      </c>
      <c r="F73" s="23" t="s">
        <v>8</v>
      </c>
      <c r="G73" s="24">
        <f>IFERROR(VLOOKUP(F73, Price_Master!$A$2:$C$201, 2, FALSE), "")</f>
        <v>12000</v>
      </c>
      <c r="H73" s="25">
        <f>IFERROR(VLOOKUP(F73, Price_Master!$A$2:$C$201, 3, FALSE), 0)</f>
        <v>0.05</v>
      </c>
      <c r="I73" s="24">
        <f t="shared" si="8"/>
        <v>600</v>
      </c>
    </row>
    <row r="74" spans="1:9" ht="18.75" x14ac:dyDescent="0.3">
      <c r="A74" s="22">
        <v>46124</v>
      </c>
      <c r="B74" s="23" t="s">
        <v>138</v>
      </c>
      <c r="C74" s="23" t="s">
        <v>97</v>
      </c>
      <c r="D74" s="23" t="s">
        <v>86</v>
      </c>
      <c r="E74" s="23" t="s">
        <v>89</v>
      </c>
      <c r="F74" s="23" t="s">
        <v>15</v>
      </c>
      <c r="G74" s="24">
        <f>IFERROR(VLOOKUP(F74, Price_Master!$A$2:$C$201, 2, FALSE), "")</f>
        <v>30000</v>
      </c>
      <c r="H74" s="25">
        <f>IFERROR(VLOOKUP(F74, Price_Master!$A$2:$C$201, 3, FALSE), 0)</f>
        <v>0.15</v>
      </c>
      <c r="I74" s="24">
        <f t="shared" si="8"/>
        <v>4500</v>
      </c>
    </row>
    <row r="75" spans="1:9" ht="18.75" x14ac:dyDescent="0.3">
      <c r="A75" s="22"/>
      <c r="B75" s="23" t="s">
        <v>139</v>
      </c>
      <c r="C75" s="23" t="s">
        <v>97</v>
      </c>
      <c r="D75" s="23" t="s">
        <v>86</v>
      </c>
      <c r="E75" s="23" t="s">
        <v>89</v>
      </c>
      <c r="F75" s="23" t="s">
        <v>7</v>
      </c>
      <c r="G75" s="24">
        <f>IFERROR(VLOOKUP(F75, Price_Master!$A$2:$C$201, 2, FALSE), "")</f>
        <v>30000</v>
      </c>
      <c r="H75" s="25">
        <f>IFERROR(VLOOKUP(F75, Price_Master!$A$2:$C$201, 3, FALSE), 0)</f>
        <v>0.15</v>
      </c>
      <c r="I75" s="24">
        <f t="shared" si="8"/>
        <v>4500</v>
      </c>
    </row>
    <row r="76" spans="1:9" ht="18.75" x14ac:dyDescent="0.3">
      <c r="A76" s="22"/>
      <c r="B76" s="23"/>
      <c r="C76" s="23"/>
      <c r="D76" s="23"/>
      <c r="E76" s="23" t="s">
        <v>89</v>
      </c>
      <c r="F76" s="23" t="s">
        <v>57</v>
      </c>
      <c r="G76" s="24">
        <f>IFERROR(VLOOKUP(F76, Price_Master!$A$2:$C$201, 2, FALSE), "")</f>
        <v>10000</v>
      </c>
      <c r="H76" s="25">
        <f>IFERROR(VLOOKUP(F76, Price_Master!$A$2:$C$201, 3, FALSE), 0)</f>
        <v>0.05</v>
      </c>
      <c r="I76" s="24">
        <f t="shared" si="8"/>
        <v>500</v>
      </c>
    </row>
    <row r="77" spans="1:9" ht="18.75" x14ac:dyDescent="0.3">
      <c r="A77" s="22"/>
      <c r="B77" s="23"/>
      <c r="C77" s="23"/>
      <c r="D77" s="23"/>
      <c r="E77" s="23" t="s">
        <v>89</v>
      </c>
      <c r="F77" s="23" t="s">
        <v>18</v>
      </c>
      <c r="G77" s="24">
        <f>IFERROR(VLOOKUP(F77, Price_Master!$A$2:$C$201, 2, FALSE), "")</f>
        <v>25000</v>
      </c>
      <c r="H77" s="25">
        <f>IFERROR(VLOOKUP(F77, Price_Master!$A$2:$C$201, 3, FALSE), 0)</f>
        <v>0.05</v>
      </c>
      <c r="I77" s="24">
        <f t="shared" si="8"/>
        <v>1250</v>
      </c>
    </row>
    <row r="78" spans="1:9" ht="18.75" x14ac:dyDescent="0.3">
      <c r="A78" s="22"/>
      <c r="B78" s="23" t="s">
        <v>140</v>
      </c>
      <c r="C78" s="23" t="s">
        <v>132</v>
      </c>
      <c r="D78" s="23" t="s">
        <v>86</v>
      </c>
      <c r="E78" s="23" t="s">
        <v>123</v>
      </c>
      <c r="F78" s="23" t="s">
        <v>72</v>
      </c>
      <c r="G78" s="24">
        <f>IFERROR(VLOOKUP(F78, Price_Master!$A$2:$C$201, 2, FALSE), "")</f>
        <v>30000</v>
      </c>
      <c r="H78" s="25">
        <f>IFERROR(VLOOKUP(F78, Price_Master!$A$2:$C$201, 3, FALSE), 0)</f>
        <v>0</v>
      </c>
      <c r="I78" s="24">
        <f t="shared" si="8"/>
        <v>0</v>
      </c>
    </row>
    <row r="79" spans="1:9" ht="18.75" x14ac:dyDescent="0.3">
      <c r="A79" s="22"/>
      <c r="B79" s="23" t="s">
        <v>141</v>
      </c>
      <c r="C79" s="23" t="s">
        <v>142</v>
      </c>
      <c r="D79" s="23" t="s">
        <v>86</v>
      </c>
      <c r="E79" s="23" t="s">
        <v>143</v>
      </c>
      <c r="F79" s="23" t="s">
        <v>57</v>
      </c>
      <c r="G79" s="24">
        <f>IFERROR(VLOOKUP(F79, Price_Master!$A$2:$C$201, 2, FALSE), "")</f>
        <v>10000</v>
      </c>
      <c r="H79" s="25">
        <f>IFERROR(VLOOKUP(F79, Price_Master!$A$2:$C$201, 3, FALSE), 0)</f>
        <v>0.05</v>
      </c>
      <c r="I79" s="24">
        <f t="shared" si="8"/>
        <v>500</v>
      </c>
    </row>
    <row r="80" spans="1:9" ht="18.75" x14ac:dyDescent="0.3">
      <c r="A80" s="22"/>
      <c r="B80" s="23"/>
      <c r="C80" s="23"/>
      <c r="D80" s="23"/>
      <c r="E80" s="23" t="s">
        <v>143</v>
      </c>
      <c r="F80" s="23" t="s">
        <v>18</v>
      </c>
      <c r="G80" s="24">
        <f>IFERROR(VLOOKUP(F80, Price_Master!$A$2:$C$201, 2, FALSE), "")</f>
        <v>25000</v>
      </c>
      <c r="H80" s="25">
        <f>IFERROR(VLOOKUP(F80, Price_Master!$A$2:$C$201, 3, FALSE), 0)</f>
        <v>0.05</v>
      </c>
      <c r="I80" s="24">
        <f t="shared" si="8"/>
        <v>1250</v>
      </c>
    </row>
    <row r="81" spans="1:9" ht="18.75" x14ac:dyDescent="0.3">
      <c r="A81" s="22"/>
      <c r="B81" s="23" t="s">
        <v>144</v>
      </c>
      <c r="C81" s="23" t="s">
        <v>145</v>
      </c>
      <c r="D81" s="23" t="s">
        <v>86</v>
      </c>
      <c r="E81" s="23" t="s">
        <v>89</v>
      </c>
      <c r="F81" s="23" t="s">
        <v>7</v>
      </c>
      <c r="G81" s="24">
        <f>IFERROR(VLOOKUP(F81, Price_Master!$A$2:$C$201, 2, FALSE), "")</f>
        <v>30000</v>
      </c>
      <c r="H81" s="25">
        <f>IFERROR(VLOOKUP(F81, Price_Master!$A$2:$C$201, 3, FALSE), 0)</f>
        <v>0.15</v>
      </c>
      <c r="I81" s="24">
        <f t="shared" si="8"/>
        <v>4500</v>
      </c>
    </row>
    <row r="82" spans="1:9" ht="18.75" x14ac:dyDescent="0.3">
      <c r="A82" s="22"/>
      <c r="B82" s="23" t="s">
        <v>146</v>
      </c>
      <c r="C82" s="23" t="s">
        <v>147</v>
      </c>
      <c r="D82" s="23" t="s">
        <v>92</v>
      </c>
      <c r="E82" s="23" t="s">
        <v>115</v>
      </c>
      <c r="F82" s="23" t="s">
        <v>7</v>
      </c>
      <c r="G82" s="24">
        <f>IFERROR(VLOOKUP(F82, Price_Master!$A$2:$C$201, 2, FALSE), "")</f>
        <v>30000</v>
      </c>
      <c r="H82" s="25">
        <f>IFERROR(VLOOKUP(F82, Price_Master!$A$2:$C$201, 3, FALSE), 0)</f>
        <v>0.15</v>
      </c>
      <c r="I82" s="24">
        <f t="shared" ref="I82:I95" si="9">IFERROR(G82*H82, "")</f>
        <v>4500</v>
      </c>
    </row>
    <row r="83" spans="1:9" ht="18.75" x14ac:dyDescent="0.3">
      <c r="A83" s="22"/>
      <c r="B83" s="23"/>
      <c r="C83" s="23"/>
      <c r="D83" s="23"/>
      <c r="E83" s="23" t="s">
        <v>115</v>
      </c>
      <c r="F83" s="23" t="s">
        <v>8</v>
      </c>
      <c r="G83" s="24">
        <f>IFERROR(VLOOKUP(F83, Price_Master!$A$2:$C$201, 2, FALSE), "")</f>
        <v>12000</v>
      </c>
      <c r="H83" s="25">
        <f>IFERROR(VLOOKUP(F83, Price_Master!$A$2:$C$201, 3, FALSE), 0)</f>
        <v>0.05</v>
      </c>
      <c r="I83" s="24">
        <f t="shared" si="9"/>
        <v>600</v>
      </c>
    </row>
    <row r="84" spans="1:9" ht="18.75" x14ac:dyDescent="0.3">
      <c r="A84" s="22"/>
      <c r="B84" s="23"/>
      <c r="C84" s="23"/>
      <c r="D84" s="23"/>
      <c r="E84" s="23" t="s">
        <v>115</v>
      </c>
      <c r="F84" s="23" t="s">
        <v>9</v>
      </c>
      <c r="G84" s="24">
        <f>IFERROR(VLOOKUP(F84, Price_Master!$A$2:$C$201, 2, FALSE), "")</f>
        <v>25000</v>
      </c>
      <c r="H84" s="25">
        <f>IFERROR(VLOOKUP(F84, Price_Master!$A$2:$C$201, 3, FALSE), 0)</f>
        <v>0.05</v>
      </c>
      <c r="I84" s="24">
        <f t="shared" si="9"/>
        <v>1250</v>
      </c>
    </row>
    <row r="85" spans="1:9" ht="18.75" x14ac:dyDescent="0.3">
      <c r="A85" s="22"/>
      <c r="B85" s="23"/>
      <c r="C85" s="23"/>
      <c r="D85" s="23"/>
      <c r="E85" s="23" t="s">
        <v>115</v>
      </c>
      <c r="F85" s="23" t="s">
        <v>49</v>
      </c>
      <c r="G85" s="24">
        <f>IFERROR(VLOOKUP(F85, Price_Master!$A$2:$C$201, 2, FALSE), "")</f>
        <v>10000</v>
      </c>
      <c r="H85" s="25">
        <f>IFERROR(VLOOKUP(F85, Price_Master!$A$2:$C$201, 3, FALSE), 0)</f>
        <v>0.15</v>
      </c>
      <c r="I85" s="24">
        <f t="shared" si="9"/>
        <v>1500</v>
      </c>
    </row>
    <row r="86" spans="1:9" ht="18.75" x14ac:dyDescent="0.3">
      <c r="A86" s="22"/>
      <c r="B86" s="23"/>
      <c r="C86" s="23"/>
      <c r="D86" s="23"/>
      <c r="E86" s="23" t="s">
        <v>115</v>
      </c>
      <c r="F86" s="23" t="s">
        <v>15</v>
      </c>
      <c r="G86" s="24">
        <f>IFERROR(VLOOKUP(F86, Price_Master!$A$2:$C$201, 2, FALSE), "")</f>
        <v>30000</v>
      </c>
      <c r="H86" s="25">
        <f>IFERROR(VLOOKUP(F86, Price_Master!$A$2:$C$201, 3, FALSE), 0)</f>
        <v>0.15</v>
      </c>
      <c r="I86" s="24">
        <f t="shared" si="9"/>
        <v>4500</v>
      </c>
    </row>
    <row r="87" spans="1:9" ht="18.75" x14ac:dyDescent="0.3">
      <c r="A87" s="22">
        <v>46125</v>
      </c>
      <c r="B87" s="23" t="s">
        <v>148</v>
      </c>
      <c r="C87" s="23" t="s">
        <v>149</v>
      </c>
      <c r="D87" s="23" t="s">
        <v>92</v>
      </c>
      <c r="E87" s="23" t="s">
        <v>115</v>
      </c>
      <c r="F87" s="23" t="s">
        <v>8</v>
      </c>
      <c r="G87" s="24">
        <f>IFERROR(VLOOKUP(F87, Price_Master!$A$2:$C$201, 2, FALSE), "")</f>
        <v>12000</v>
      </c>
      <c r="H87" s="25">
        <f>IFERROR(VLOOKUP(F87, Price_Master!$A$2:$C$201, 3, FALSE), 0)</f>
        <v>0.05</v>
      </c>
      <c r="I87" s="24">
        <f t="shared" si="9"/>
        <v>600</v>
      </c>
    </row>
    <row r="88" spans="1:9" ht="18.75" x14ac:dyDescent="0.3">
      <c r="A88" s="22"/>
      <c r="B88" s="23"/>
      <c r="C88" s="23"/>
      <c r="D88" s="23"/>
      <c r="E88" s="23" t="s">
        <v>115</v>
      </c>
      <c r="F88" s="23" t="s">
        <v>57</v>
      </c>
      <c r="G88" s="24">
        <f>IFERROR(VLOOKUP(F88, Price_Master!$A$2:$C$201, 2, FALSE), "")</f>
        <v>10000</v>
      </c>
      <c r="H88" s="25">
        <f>IFERROR(VLOOKUP(F88, Price_Master!$A$2:$C$201, 3, FALSE), 0)</f>
        <v>0.05</v>
      </c>
      <c r="I88" s="24">
        <f t="shared" si="9"/>
        <v>500</v>
      </c>
    </row>
    <row r="89" spans="1:9" ht="18.75" x14ac:dyDescent="0.3">
      <c r="A89" s="22"/>
      <c r="B89" s="23" t="s">
        <v>150</v>
      </c>
      <c r="C89" s="23" t="s">
        <v>109</v>
      </c>
      <c r="D89" s="23" t="s">
        <v>86</v>
      </c>
      <c r="E89" s="23" t="s">
        <v>89</v>
      </c>
      <c r="F89" s="23" t="s">
        <v>17</v>
      </c>
      <c r="G89" s="24">
        <f>IFERROR(VLOOKUP(F89, Price_Master!$A$2:$C$201, 2, FALSE), "")</f>
        <v>12000</v>
      </c>
      <c r="H89" s="25">
        <f>IFERROR(VLOOKUP(F89, Price_Master!$A$2:$C$201, 3, FALSE), 0)</f>
        <v>0.05</v>
      </c>
      <c r="I89" s="24">
        <f t="shared" si="9"/>
        <v>600</v>
      </c>
    </row>
    <row r="90" spans="1:9" ht="18.75" x14ac:dyDescent="0.3">
      <c r="A90" s="22"/>
      <c r="B90" s="23" t="s">
        <v>151</v>
      </c>
      <c r="C90" s="23" t="s">
        <v>152</v>
      </c>
      <c r="D90" s="23" t="s">
        <v>86</v>
      </c>
      <c r="E90" s="23" t="s">
        <v>89</v>
      </c>
      <c r="F90" s="23" t="s">
        <v>7</v>
      </c>
      <c r="G90" s="24">
        <f>IFERROR(VLOOKUP(F90, Price_Master!$A$2:$C$201, 2, FALSE), "")</f>
        <v>30000</v>
      </c>
      <c r="H90" s="25">
        <f>IFERROR(VLOOKUP(F90, Price_Master!$A$2:$C$201, 3, FALSE), 0)</f>
        <v>0.15</v>
      </c>
      <c r="I90" s="24">
        <f t="shared" si="9"/>
        <v>4500</v>
      </c>
    </row>
    <row r="91" spans="1:9" ht="18.75" x14ac:dyDescent="0.3">
      <c r="A91" s="22"/>
      <c r="B91" s="23"/>
      <c r="C91" s="23"/>
      <c r="D91" s="23"/>
      <c r="E91" s="23" t="s">
        <v>89</v>
      </c>
      <c r="F91" s="23" t="s">
        <v>57</v>
      </c>
      <c r="G91" s="24">
        <f>IFERROR(VLOOKUP(F91, Price_Master!$A$2:$C$201, 2, FALSE), "")</f>
        <v>10000</v>
      </c>
      <c r="H91" s="25">
        <f>IFERROR(VLOOKUP(F91, Price_Master!$A$2:$C$201, 3, FALSE), 0)</f>
        <v>0.05</v>
      </c>
      <c r="I91" s="24">
        <f t="shared" si="9"/>
        <v>500</v>
      </c>
    </row>
    <row r="92" spans="1:9" ht="18.75" x14ac:dyDescent="0.3">
      <c r="A92" s="22"/>
      <c r="B92" s="23"/>
      <c r="C92" s="23"/>
      <c r="D92" s="23"/>
      <c r="E92" s="23" t="s">
        <v>89</v>
      </c>
      <c r="F92" s="23" t="s">
        <v>18</v>
      </c>
      <c r="G92" s="24">
        <f>IFERROR(VLOOKUP(F92, Price_Master!$A$2:$C$201, 2, FALSE), "")</f>
        <v>25000</v>
      </c>
      <c r="H92" s="25">
        <f>IFERROR(VLOOKUP(F92, Price_Master!$A$2:$C$201, 3, FALSE), 0)</f>
        <v>0.05</v>
      </c>
      <c r="I92" s="24">
        <f t="shared" si="9"/>
        <v>1250</v>
      </c>
    </row>
    <row r="93" spans="1:9" ht="18.75" x14ac:dyDescent="0.3">
      <c r="A93" s="22"/>
      <c r="B93" s="23"/>
      <c r="C93" s="23"/>
      <c r="D93" s="23"/>
      <c r="E93" s="23" t="s">
        <v>89</v>
      </c>
      <c r="F93" s="23" t="s">
        <v>60</v>
      </c>
      <c r="G93" s="24">
        <f>IFERROR(VLOOKUP(F93, Price_Master!$A$2:$C$201, 2, FALSE), "")</f>
        <v>25000</v>
      </c>
      <c r="H93" s="25">
        <f>IFERROR(VLOOKUP(F93, Price_Master!$A$2:$C$201, 3, FALSE), 0)</f>
        <v>0.05</v>
      </c>
      <c r="I93" s="24">
        <f t="shared" si="9"/>
        <v>1250</v>
      </c>
    </row>
    <row r="94" spans="1:9" ht="18.75" x14ac:dyDescent="0.3">
      <c r="A94" s="22"/>
      <c r="B94" s="23" t="s">
        <v>153</v>
      </c>
      <c r="C94" s="23" t="s">
        <v>154</v>
      </c>
      <c r="D94" s="23" t="s">
        <v>86</v>
      </c>
      <c r="E94" s="23" t="s">
        <v>89</v>
      </c>
      <c r="F94" s="23" t="s">
        <v>7</v>
      </c>
      <c r="G94" s="24">
        <f>IFERROR(VLOOKUP(F94, Price_Master!$A$2:$C$201, 2, FALSE), "")</f>
        <v>30000</v>
      </c>
      <c r="H94" s="25">
        <f>IFERROR(VLOOKUP(F94, Price_Master!$A$2:$C$201, 3, FALSE), 0)</f>
        <v>0.15</v>
      </c>
      <c r="I94" s="24">
        <f t="shared" si="9"/>
        <v>4500</v>
      </c>
    </row>
    <row r="95" spans="1:9" ht="18.75" x14ac:dyDescent="0.3">
      <c r="A95" s="22"/>
      <c r="B95" s="23"/>
      <c r="C95" s="23"/>
      <c r="D95" s="23"/>
      <c r="E95" s="23" t="s">
        <v>89</v>
      </c>
      <c r="F95" s="23" t="s">
        <v>60</v>
      </c>
      <c r="G95" s="24">
        <f>IFERROR(VLOOKUP(F95, Price_Master!$A$2:$C$201, 2, FALSE), "")</f>
        <v>25000</v>
      </c>
      <c r="H95" s="25">
        <f>IFERROR(VLOOKUP(F95, Price_Master!$A$2:$C$201, 3, FALSE), 0)</f>
        <v>0.05</v>
      </c>
      <c r="I95" s="24">
        <f t="shared" si="9"/>
        <v>1250</v>
      </c>
    </row>
    <row r="96" spans="1:9" ht="18.75" x14ac:dyDescent="0.3">
      <c r="A96" s="22">
        <v>46126</v>
      </c>
      <c r="B96" s="23" t="s">
        <v>155</v>
      </c>
      <c r="C96" s="23" t="s">
        <v>156</v>
      </c>
      <c r="D96" s="23" t="s">
        <v>86</v>
      </c>
      <c r="E96" s="23" t="s">
        <v>123</v>
      </c>
      <c r="F96" s="23" t="s">
        <v>7</v>
      </c>
      <c r="G96" s="24">
        <f>IFERROR(VLOOKUP(F96, Price_Master!$A$2:$C$201, 2, FALSE), "")</f>
        <v>30000</v>
      </c>
      <c r="H96" s="25">
        <f>IFERROR(VLOOKUP(F96, Price_Master!$A$2:$C$201, 3, FALSE), 0)</f>
        <v>0.15</v>
      </c>
      <c r="I96" s="24">
        <f t="shared" ref="I96:I110" si="10">IFERROR(G96*H96, "")</f>
        <v>4500</v>
      </c>
    </row>
    <row r="97" spans="1:9" ht="18.75" x14ac:dyDescent="0.3">
      <c r="A97" s="22"/>
      <c r="B97" s="23"/>
      <c r="C97" s="23"/>
      <c r="D97" s="23"/>
      <c r="E97" s="23" t="s">
        <v>123</v>
      </c>
      <c r="F97" s="23" t="s">
        <v>157</v>
      </c>
      <c r="G97" s="24">
        <f>IFERROR(VLOOKUP(F97, Price_Master!$A$2:$C$201, 2, FALSE), "")</f>
        <v>25000</v>
      </c>
      <c r="H97" s="25">
        <f>IFERROR(VLOOKUP(F97, Price_Master!$A$2:$C$201, 3, FALSE), 0)</f>
        <v>0.05</v>
      </c>
      <c r="I97" s="24">
        <f t="shared" si="10"/>
        <v>1250</v>
      </c>
    </row>
    <row r="98" spans="1:9" ht="18.75" x14ac:dyDescent="0.3">
      <c r="A98" s="22"/>
      <c r="B98" s="23"/>
      <c r="C98" s="23"/>
      <c r="D98" s="23"/>
      <c r="E98" s="23" t="s">
        <v>123</v>
      </c>
      <c r="F98" s="23" t="s">
        <v>50</v>
      </c>
      <c r="G98" s="24">
        <f>IFERROR(VLOOKUP(F98, Price_Master!$A$2:$C$201, 2, FALSE), "")</f>
        <v>7000</v>
      </c>
      <c r="H98" s="25">
        <f>IFERROR(VLOOKUP(F98, Price_Master!$A$2:$C$201, 3, FALSE), 0)</f>
        <v>0.05</v>
      </c>
      <c r="I98" s="24">
        <f t="shared" si="10"/>
        <v>350</v>
      </c>
    </row>
    <row r="99" spans="1:9" ht="18.75" x14ac:dyDescent="0.3">
      <c r="A99" s="22"/>
      <c r="B99" s="23"/>
      <c r="C99" s="23"/>
      <c r="D99" s="23"/>
      <c r="E99" s="23" t="s">
        <v>123</v>
      </c>
      <c r="F99" s="23" t="s">
        <v>22</v>
      </c>
      <c r="G99" s="24">
        <f>IFERROR(VLOOKUP(F99, Price_Master!$A$2:$C$201, 2, FALSE), "")</f>
        <v>7000</v>
      </c>
      <c r="H99" s="25">
        <f>IFERROR(VLOOKUP(F99, Price_Master!$A$2:$C$201, 3, FALSE), 0)</f>
        <v>0.05</v>
      </c>
      <c r="I99" s="24">
        <f t="shared" si="10"/>
        <v>350</v>
      </c>
    </row>
    <row r="100" spans="1:9" ht="18.75" x14ac:dyDescent="0.3">
      <c r="A100" s="22"/>
      <c r="B100" s="23"/>
      <c r="C100" s="23"/>
      <c r="D100" s="23"/>
      <c r="E100" s="23" t="s">
        <v>123</v>
      </c>
      <c r="F100" s="23" t="s">
        <v>21</v>
      </c>
      <c r="G100" s="24">
        <f>IFERROR(VLOOKUP(F100, Price_Master!$A$2:$C$201, 2, FALSE), "")</f>
        <v>10000</v>
      </c>
      <c r="H100" s="25">
        <f>IFERROR(VLOOKUP(F100, Price_Master!$A$2:$C$201, 3, FALSE), 0)</f>
        <v>0.05</v>
      </c>
      <c r="I100" s="24">
        <f t="shared" si="10"/>
        <v>500</v>
      </c>
    </row>
    <row r="101" spans="1:9" ht="18.75" x14ac:dyDescent="0.3">
      <c r="A101" s="22"/>
      <c r="B101" s="23"/>
      <c r="C101" s="23"/>
      <c r="D101" s="23"/>
      <c r="E101" s="23" t="s">
        <v>123</v>
      </c>
      <c r="F101" s="23" t="s">
        <v>49</v>
      </c>
      <c r="G101" s="24">
        <f>IFERROR(VLOOKUP(F101, Price_Master!$A$2:$C$201, 2, FALSE), "")</f>
        <v>10000</v>
      </c>
      <c r="H101" s="25">
        <f>IFERROR(VLOOKUP(F101, Price_Master!$A$2:$C$201, 3, FALSE), 0)</f>
        <v>0.15</v>
      </c>
      <c r="I101" s="24">
        <f t="shared" si="10"/>
        <v>1500</v>
      </c>
    </row>
    <row r="102" spans="1:9" ht="18.75" x14ac:dyDescent="0.3">
      <c r="A102" s="22"/>
      <c r="B102" s="23"/>
      <c r="C102" s="23"/>
      <c r="D102" s="23"/>
      <c r="E102" s="23" t="s">
        <v>123</v>
      </c>
      <c r="F102" s="23" t="s">
        <v>11</v>
      </c>
      <c r="G102" s="24">
        <f>IFERROR(VLOOKUP(F102, Price_Master!$A$2:$C$201, 2, FALSE), "")</f>
        <v>36000</v>
      </c>
      <c r="H102" s="25">
        <f>IFERROR(VLOOKUP(F102, Price_Master!$A$2:$C$201, 3, FALSE), 0)</f>
        <v>0.15</v>
      </c>
      <c r="I102" s="24">
        <f t="shared" si="10"/>
        <v>5400</v>
      </c>
    </row>
    <row r="103" spans="1:9" ht="18.75" x14ac:dyDescent="0.3">
      <c r="A103" s="22"/>
      <c r="B103" s="23"/>
      <c r="C103" s="23"/>
      <c r="D103" s="23"/>
      <c r="E103" s="23" t="s">
        <v>123</v>
      </c>
      <c r="F103" s="23" t="s">
        <v>15</v>
      </c>
      <c r="G103" s="24">
        <f>IFERROR(VLOOKUP(F103, Price_Master!$A$2:$C$201, 2, FALSE), "")</f>
        <v>30000</v>
      </c>
      <c r="H103" s="25">
        <f>IFERROR(VLOOKUP(F103, Price_Master!$A$2:$C$201, 3, FALSE), 0)</f>
        <v>0.15</v>
      </c>
      <c r="I103" s="24">
        <f t="shared" si="10"/>
        <v>4500</v>
      </c>
    </row>
    <row r="104" spans="1:9" ht="18.75" x14ac:dyDescent="0.3">
      <c r="A104" s="22"/>
      <c r="B104" s="23" t="s">
        <v>158</v>
      </c>
      <c r="C104" s="23" t="s">
        <v>85</v>
      </c>
      <c r="D104" s="23" t="s">
        <v>92</v>
      </c>
      <c r="E104" s="23" t="s">
        <v>115</v>
      </c>
      <c r="F104" s="23" t="s">
        <v>7</v>
      </c>
      <c r="G104" s="24">
        <f>IFERROR(VLOOKUP(F104, Price_Master!$A$2:$C$201, 2, FALSE), "")</f>
        <v>30000</v>
      </c>
      <c r="H104" s="25">
        <f>IFERROR(VLOOKUP(F104, Price_Master!$A$2:$C$201, 3, FALSE), 0)</f>
        <v>0.15</v>
      </c>
      <c r="I104" s="24">
        <f t="shared" si="10"/>
        <v>4500</v>
      </c>
    </row>
    <row r="105" spans="1:9" ht="18.75" x14ac:dyDescent="0.3">
      <c r="A105" s="22"/>
      <c r="B105" s="23"/>
      <c r="C105" s="23"/>
      <c r="D105" s="23"/>
      <c r="E105" s="23" t="s">
        <v>115</v>
      </c>
      <c r="F105" s="23" t="s">
        <v>44</v>
      </c>
      <c r="G105" s="24">
        <f>IFERROR(VLOOKUP(F105, Price_Master!$A$2:$C$201, 2, FALSE), "")</f>
        <v>25000</v>
      </c>
      <c r="H105" s="25">
        <f>IFERROR(VLOOKUP(F105, Price_Master!$A$2:$C$201, 3, FALSE), 0)</f>
        <v>0.05</v>
      </c>
      <c r="I105" s="24">
        <f t="shared" si="10"/>
        <v>1250</v>
      </c>
    </row>
    <row r="106" spans="1:9" ht="18.75" x14ac:dyDescent="0.3">
      <c r="A106" s="22"/>
      <c r="B106" s="23"/>
      <c r="C106" s="23"/>
      <c r="D106" s="23"/>
      <c r="E106" s="23" t="s">
        <v>115</v>
      </c>
      <c r="F106" s="23" t="s">
        <v>15</v>
      </c>
      <c r="G106" s="24">
        <f>IFERROR(VLOOKUP(F106, Price_Master!$A$2:$C$201, 2, FALSE), "")</f>
        <v>30000</v>
      </c>
      <c r="H106" s="25">
        <f>IFERROR(VLOOKUP(F106, Price_Master!$A$2:$C$201, 3, FALSE), 0)</f>
        <v>0.15</v>
      </c>
      <c r="I106" s="24">
        <f t="shared" si="10"/>
        <v>4500</v>
      </c>
    </row>
    <row r="107" spans="1:9" ht="18.75" x14ac:dyDescent="0.3">
      <c r="A107" s="22"/>
      <c r="B107" s="23" t="s">
        <v>159</v>
      </c>
      <c r="C107" s="23" t="s">
        <v>160</v>
      </c>
      <c r="D107" s="23" t="s">
        <v>92</v>
      </c>
      <c r="E107" s="23" t="s">
        <v>115</v>
      </c>
      <c r="F107" s="23" t="s">
        <v>7</v>
      </c>
      <c r="G107" s="24">
        <f>IFERROR(VLOOKUP(F107, Price_Master!$A$2:$C$201, 2, FALSE), "")</f>
        <v>30000</v>
      </c>
      <c r="H107" s="25">
        <f>IFERROR(VLOOKUP(F107, Price_Master!$A$2:$C$201, 3, FALSE), 0)</f>
        <v>0.15</v>
      </c>
      <c r="I107" s="24">
        <f t="shared" si="10"/>
        <v>4500</v>
      </c>
    </row>
    <row r="108" spans="1:9" ht="18.75" x14ac:dyDescent="0.3">
      <c r="A108" s="22"/>
      <c r="B108" s="23"/>
      <c r="C108" s="23"/>
      <c r="D108" s="23"/>
      <c r="E108" s="23" t="s">
        <v>115</v>
      </c>
      <c r="F108" s="23" t="s">
        <v>13</v>
      </c>
      <c r="G108" s="24">
        <f>IFERROR(VLOOKUP(F108, Price_Master!$A$2:$C$201, 2, FALSE), "")</f>
        <v>10000</v>
      </c>
      <c r="H108" s="25">
        <f>IFERROR(VLOOKUP(F108, Price_Master!$A$2:$C$201, 3, FALSE), 0)</f>
        <v>0.15</v>
      </c>
      <c r="I108" s="24">
        <f t="shared" si="10"/>
        <v>1500</v>
      </c>
    </row>
    <row r="109" spans="1:9" ht="18.75" x14ac:dyDescent="0.3">
      <c r="A109" s="22"/>
      <c r="B109" s="23"/>
      <c r="C109" s="23"/>
      <c r="D109" s="23"/>
      <c r="E109" s="23" t="s">
        <v>115</v>
      </c>
      <c r="F109" s="23" t="s">
        <v>47</v>
      </c>
      <c r="G109" s="24">
        <f>IFERROR(VLOOKUP(F109, Price_Master!$A$2:$C$201, 2, FALSE), "")</f>
        <v>30000</v>
      </c>
      <c r="H109" s="25">
        <f>IFERROR(VLOOKUP(F109, Price_Master!$A$2:$C$201, 3, FALSE), 0)</f>
        <v>0.05</v>
      </c>
      <c r="I109" s="24">
        <f t="shared" si="10"/>
        <v>1500</v>
      </c>
    </row>
    <row r="110" spans="1:9" ht="18.75" x14ac:dyDescent="0.3">
      <c r="A110" s="22"/>
      <c r="B110" s="23"/>
      <c r="C110" s="23"/>
      <c r="D110" s="23"/>
      <c r="E110" s="23" t="s">
        <v>115</v>
      </c>
      <c r="F110" s="23" t="s">
        <v>53</v>
      </c>
      <c r="G110" s="24">
        <f>IFERROR(VLOOKUP(F110, Price_Master!$A$2:$C$201, 2, FALSE), "")</f>
        <v>10000</v>
      </c>
      <c r="H110" s="25">
        <f>IFERROR(VLOOKUP(F110, Price_Master!$A$2:$C$201, 3, FALSE), 0)</f>
        <v>0.05</v>
      </c>
      <c r="I110" s="24">
        <f t="shared" si="10"/>
        <v>500</v>
      </c>
    </row>
    <row r="111" spans="1:9" ht="18.75" x14ac:dyDescent="0.3">
      <c r="A111" s="22">
        <v>46127</v>
      </c>
      <c r="B111" s="23" t="s">
        <v>161</v>
      </c>
      <c r="C111" s="23" t="s">
        <v>106</v>
      </c>
      <c r="D111" s="23" t="s">
        <v>86</v>
      </c>
      <c r="E111" s="23" t="s">
        <v>128</v>
      </c>
      <c r="F111" s="23" t="s">
        <v>57</v>
      </c>
      <c r="G111" s="24">
        <f>IFERROR(VLOOKUP(F111, Price_Master!$A$2:$C$201, 2, FALSE), "")</f>
        <v>10000</v>
      </c>
      <c r="H111" s="25">
        <f>IFERROR(VLOOKUP(F111, Price_Master!$A$2:$C$201, 3, FALSE), 0)</f>
        <v>0.05</v>
      </c>
      <c r="I111" s="24">
        <f t="shared" ref="I111:I123" si="11">IFERROR(G111*H111, "")</f>
        <v>500</v>
      </c>
    </row>
    <row r="112" spans="1:9" ht="18.75" x14ac:dyDescent="0.3">
      <c r="A112" s="22"/>
      <c r="B112" s="23"/>
      <c r="C112" s="23"/>
      <c r="D112" s="23"/>
      <c r="E112" s="23" t="s">
        <v>128</v>
      </c>
      <c r="F112" s="23" t="s">
        <v>58</v>
      </c>
      <c r="G112" s="24">
        <f>IFERROR(VLOOKUP(F112, Price_Master!$A$2:$C$201, 2, FALSE), "")</f>
        <v>12000</v>
      </c>
      <c r="H112" s="25">
        <f>IFERROR(VLOOKUP(F112, Price_Master!$A$2:$C$201, 3, FALSE), 0)</f>
        <v>0.05</v>
      </c>
      <c r="I112" s="24">
        <f t="shared" si="11"/>
        <v>600</v>
      </c>
    </row>
    <row r="113" spans="1:9" ht="18.75" x14ac:dyDescent="0.3">
      <c r="A113" s="22">
        <v>46131</v>
      </c>
      <c r="B113" s="23" t="s">
        <v>162</v>
      </c>
      <c r="C113" s="23" t="s">
        <v>163</v>
      </c>
      <c r="D113" s="23" t="s">
        <v>92</v>
      </c>
      <c r="E113" s="23" t="s">
        <v>115</v>
      </c>
      <c r="F113" s="23" t="s">
        <v>7</v>
      </c>
      <c r="G113" s="24">
        <f>IFERROR(VLOOKUP(F113, Price_Master!$A$2:$C$201, 2, FALSE), "")</f>
        <v>30000</v>
      </c>
      <c r="H113" s="25">
        <f>IFERROR(VLOOKUP(F113, Price_Master!$A$2:$C$201, 3, FALSE), 0)</f>
        <v>0.15</v>
      </c>
      <c r="I113" s="24">
        <f t="shared" si="11"/>
        <v>4500</v>
      </c>
    </row>
    <row r="114" spans="1:9" ht="18.75" x14ac:dyDescent="0.3">
      <c r="A114" s="22"/>
      <c r="B114" s="23"/>
      <c r="C114" s="23"/>
      <c r="D114" s="23"/>
      <c r="E114" s="23" t="s">
        <v>115</v>
      </c>
      <c r="F114" s="23" t="s">
        <v>13</v>
      </c>
      <c r="G114" s="24">
        <f>IFERROR(VLOOKUP(F114, Price_Master!$A$2:$C$201, 2, FALSE), "")</f>
        <v>10000</v>
      </c>
      <c r="H114" s="25">
        <f>IFERROR(VLOOKUP(F114, Price_Master!$A$2:$C$201, 3, FALSE), 0)</f>
        <v>0.15</v>
      </c>
      <c r="I114" s="24">
        <f t="shared" si="11"/>
        <v>1500</v>
      </c>
    </row>
    <row r="115" spans="1:9" ht="18.75" x14ac:dyDescent="0.3">
      <c r="A115" s="22"/>
      <c r="B115" s="23" t="s">
        <v>164</v>
      </c>
      <c r="C115" s="23" t="s">
        <v>165</v>
      </c>
      <c r="D115" s="23" t="s">
        <v>86</v>
      </c>
      <c r="E115" s="23" t="s">
        <v>89</v>
      </c>
      <c r="F115" s="23" t="s">
        <v>15</v>
      </c>
      <c r="G115" s="24">
        <f>IFERROR(VLOOKUP(F115, Price_Master!$A$2:$C$201, 2, FALSE), "")</f>
        <v>30000</v>
      </c>
      <c r="H115" s="25">
        <f>IFERROR(VLOOKUP(F115, Price_Master!$A$2:$C$201, 3, FALSE), 0)</f>
        <v>0.15</v>
      </c>
      <c r="I115" s="24">
        <f t="shared" si="11"/>
        <v>4500</v>
      </c>
    </row>
    <row r="116" spans="1:9" ht="18.75" x14ac:dyDescent="0.3">
      <c r="A116" s="22">
        <v>46132</v>
      </c>
      <c r="B116" s="23" t="s">
        <v>146</v>
      </c>
      <c r="C116" s="23" t="s">
        <v>147</v>
      </c>
      <c r="D116" s="23" t="s">
        <v>92</v>
      </c>
      <c r="E116" s="23" t="s">
        <v>115</v>
      </c>
      <c r="F116" s="23" t="s">
        <v>50</v>
      </c>
      <c r="G116" s="24">
        <f>IFERROR(VLOOKUP(F116, Price_Master!$A$2:$C$201, 2, FALSE), "")</f>
        <v>7000</v>
      </c>
      <c r="H116" s="25">
        <f>IFERROR(VLOOKUP(F116, Price_Master!$A$2:$C$201, 3, FALSE), 0)</f>
        <v>0.05</v>
      </c>
      <c r="I116" s="24">
        <f t="shared" si="11"/>
        <v>350</v>
      </c>
    </row>
    <row r="117" spans="1:9" ht="18.75" x14ac:dyDescent="0.3">
      <c r="A117" s="22"/>
      <c r="B117" s="23"/>
      <c r="C117" s="23"/>
      <c r="D117" s="23"/>
      <c r="E117" s="23" t="s">
        <v>115</v>
      </c>
      <c r="F117" s="23" t="s">
        <v>22</v>
      </c>
      <c r="G117" s="24">
        <f>IFERROR(VLOOKUP(F117, Price_Master!$A$2:$C$201, 2, FALSE), "")</f>
        <v>7000</v>
      </c>
      <c r="H117" s="25">
        <f>IFERROR(VLOOKUP(F117, Price_Master!$A$2:$C$201, 3, FALSE), 0)</f>
        <v>0.05</v>
      </c>
      <c r="I117" s="24">
        <f t="shared" si="11"/>
        <v>350</v>
      </c>
    </row>
    <row r="118" spans="1:9" ht="18.75" x14ac:dyDescent="0.3">
      <c r="A118" s="22"/>
      <c r="B118" s="23"/>
      <c r="C118" s="23"/>
      <c r="D118" s="23"/>
      <c r="E118" s="23" t="s">
        <v>115</v>
      </c>
      <c r="F118" s="23" t="s">
        <v>37</v>
      </c>
      <c r="G118" s="24">
        <f>IFERROR(VLOOKUP(F118, Price_Master!$A$2:$C$201, 2, FALSE), "")</f>
        <v>36000</v>
      </c>
      <c r="H118" s="25">
        <f>IFERROR(VLOOKUP(F118, Price_Master!$A$2:$C$201, 3, FALSE), 0)</f>
        <v>0.15</v>
      </c>
      <c r="I118" s="24">
        <f t="shared" si="11"/>
        <v>5400</v>
      </c>
    </row>
    <row r="119" spans="1:9" ht="18.75" x14ac:dyDescent="0.3">
      <c r="A119" s="22"/>
      <c r="B119" s="23" t="s">
        <v>166</v>
      </c>
      <c r="C119" s="23" t="s">
        <v>167</v>
      </c>
      <c r="D119" s="23" t="s">
        <v>92</v>
      </c>
      <c r="E119" s="23" t="s">
        <v>128</v>
      </c>
      <c r="F119" s="23" t="s">
        <v>8</v>
      </c>
      <c r="G119" s="24">
        <f>IFERROR(VLOOKUP(F119, Price_Master!$A$2:$C$201, 2, FALSE), "")</f>
        <v>12000</v>
      </c>
      <c r="H119" s="25">
        <f>IFERROR(VLOOKUP(F119, Price_Master!$A$2:$C$201, 3, FALSE), 0)</f>
        <v>0.05</v>
      </c>
      <c r="I119" s="24">
        <f t="shared" si="11"/>
        <v>600</v>
      </c>
    </row>
    <row r="120" spans="1:9" ht="18.75" x14ac:dyDescent="0.3">
      <c r="A120" s="22"/>
      <c r="B120" s="23" t="s">
        <v>168</v>
      </c>
      <c r="C120" s="23" t="s">
        <v>169</v>
      </c>
      <c r="D120" s="23" t="s">
        <v>86</v>
      </c>
      <c r="E120" s="23" t="s">
        <v>123</v>
      </c>
      <c r="F120" s="23" t="s">
        <v>15</v>
      </c>
      <c r="G120" s="24">
        <f>IFERROR(VLOOKUP(F120, Price_Master!$A$2:$C$201, 2, FALSE), "")</f>
        <v>30000</v>
      </c>
      <c r="H120" s="25">
        <f>IFERROR(VLOOKUP(F120, Price_Master!$A$2:$C$201, 3, FALSE), 0)</f>
        <v>0.15</v>
      </c>
      <c r="I120" s="24">
        <f t="shared" si="11"/>
        <v>4500</v>
      </c>
    </row>
    <row r="121" spans="1:9" ht="18.75" x14ac:dyDescent="0.3">
      <c r="A121" s="22"/>
      <c r="B121" s="23" t="s">
        <v>170</v>
      </c>
      <c r="C121" s="23" t="s">
        <v>171</v>
      </c>
      <c r="D121" s="23" t="s">
        <v>86</v>
      </c>
      <c r="E121" s="23" t="s">
        <v>123</v>
      </c>
      <c r="F121" s="23" t="s">
        <v>8</v>
      </c>
      <c r="G121" s="24">
        <f>IFERROR(VLOOKUP(F121, Price_Master!$A$2:$C$201, 2, FALSE), "")</f>
        <v>12000</v>
      </c>
      <c r="H121" s="25">
        <f>IFERROR(VLOOKUP(F121, Price_Master!$A$2:$C$201, 3, FALSE), 0)</f>
        <v>0.05</v>
      </c>
      <c r="I121" s="24">
        <f t="shared" si="11"/>
        <v>600</v>
      </c>
    </row>
    <row r="122" spans="1:9" ht="18.75" x14ac:dyDescent="0.3">
      <c r="A122" s="22"/>
      <c r="B122" s="23" t="s">
        <v>172</v>
      </c>
      <c r="C122" s="23" t="s">
        <v>173</v>
      </c>
      <c r="D122" s="23" t="s">
        <v>86</v>
      </c>
      <c r="E122" s="23" t="s">
        <v>123</v>
      </c>
      <c r="F122" s="23" t="s">
        <v>43</v>
      </c>
      <c r="G122" s="24">
        <f>IFERROR(VLOOKUP(F122, Price_Master!$A$2:$C$201, 2, FALSE), "")</f>
        <v>20000</v>
      </c>
      <c r="H122" s="25">
        <f>IFERROR(VLOOKUP(F122, Price_Master!$A$2:$C$201, 3, FALSE), 0)</f>
        <v>0.05</v>
      </c>
      <c r="I122" s="24">
        <f t="shared" si="11"/>
        <v>1000</v>
      </c>
    </row>
    <row r="123" spans="1:9" ht="18.75" x14ac:dyDescent="0.3">
      <c r="A123" s="22"/>
      <c r="B123" s="23"/>
      <c r="C123" s="23"/>
      <c r="D123" s="23"/>
      <c r="E123" s="23" t="s">
        <v>123</v>
      </c>
      <c r="F123" s="23" t="s">
        <v>44</v>
      </c>
      <c r="G123" s="24">
        <f>IFERROR(VLOOKUP(F123, Price_Master!$A$2:$C$201, 2, FALSE), "")</f>
        <v>25000</v>
      </c>
      <c r="H123" s="25">
        <f>IFERROR(VLOOKUP(F123, Price_Master!$A$2:$C$201, 3, FALSE), 0)</f>
        <v>0.05</v>
      </c>
      <c r="I123" s="24">
        <f t="shared" si="11"/>
        <v>1250</v>
      </c>
    </row>
    <row r="124" spans="1:9" ht="18.75" x14ac:dyDescent="0.3">
      <c r="A124" s="22"/>
      <c r="B124" s="23" t="s">
        <v>174</v>
      </c>
      <c r="C124" s="23" t="s">
        <v>175</v>
      </c>
      <c r="D124" s="23" t="s">
        <v>86</v>
      </c>
      <c r="E124" s="23" t="s">
        <v>89</v>
      </c>
      <c r="F124" s="23" t="s">
        <v>7</v>
      </c>
      <c r="G124" s="24">
        <f>IFERROR(VLOOKUP(F124, Price_Master!$A$2:$C$201, 2, FALSE), "")</f>
        <v>30000</v>
      </c>
      <c r="H124" s="25">
        <f>IFERROR(VLOOKUP(F124, Price_Master!$A$2:$C$201, 3, FALSE), 0)</f>
        <v>0.15</v>
      </c>
      <c r="I124" s="24">
        <f>IFERROR(G124*H124, "")</f>
        <v>4500</v>
      </c>
    </row>
    <row r="125" spans="1:9" ht="18.75" x14ac:dyDescent="0.3">
      <c r="A125" s="22"/>
      <c r="B125" s="23"/>
      <c r="C125" s="23"/>
      <c r="D125" s="23"/>
      <c r="E125" s="23" t="s">
        <v>89</v>
      </c>
      <c r="F125" s="23" t="s">
        <v>15</v>
      </c>
      <c r="G125" s="24">
        <f>IFERROR(VLOOKUP(F125, Price_Master!$A$2:$C$201, 2, FALSE), "")</f>
        <v>30000</v>
      </c>
      <c r="H125" s="25">
        <f>IFERROR(VLOOKUP(F125, Price_Master!$A$2:$C$201, 3, FALSE), 0)</f>
        <v>0.15</v>
      </c>
      <c r="I125" s="24">
        <f>IFERROR(G125*H125, "")</f>
        <v>4500</v>
      </c>
    </row>
    <row r="126" spans="1:9" ht="18.75" x14ac:dyDescent="0.3">
      <c r="A126" s="22"/>
      <c r="B126" s="23"/>
      <c r="C126" s="23"/>
      <c r="D126" s="23"/>
      <c r="E126" s="23" t="s">
        <v>89</v>
      </c>
      <c r="F126" s="23" t="s">
        <v>49</v>
      </c>
      <c r="G126" s="24">
        <f>IFERROR(VLOOKUP(F126, Price_Master!$A$2:$C$201, 2, FALSE), "")</f>
        <v>10000</v>
      </c>
      <c r="H126" s="25">
        <f>IFERROR(VLOOKUP(F126, Price_Master!$A$2:$C$201, 3, FALSE), 0)</f>
        <v>0.15</v>
      </c>
      <c r="I126" s="24">
        <f>IFERROR(G126*H126, "")</f>
        <v>1500</v>
      </c>
    </row>
    <row r="127" spans="1:9" ht="18.75" x14ac:dyDescent="0.3">
      <c r="A127" s="22"/>
      <c r="B127" s="23"/>
      <c r="C127" s="23"/>
      <c r="D127" s="23"/>
      <c r="E127" s="23" t="s">
        <v>89</v>
      </c>
      <c r="F127" s="23" t="s">
        <v>60</v>
      </c>
      <c r="G127" s="24">
        <f>IFERROR(VLOOKUP(F127, Price_Master!$A$2:$C$201, 2, FALSE), "")</f>
        <v>25000</v>
      </c>
      <c r="H127" s="25">
        <f>IFERROR(VLOOKUP(F127, Price_Master!$A$2:$C$201, 3, FALSE), 0)</f>
        <v>0.05</v>
      </c>
      <c r="I127" s="24">
        <f>IFERROR(G127*H127, "")</f>
        <v>1250</v>
      </c>
    </row>
    <row r="128" spans="1:9" ht="18.75" x14ac:dyDescent="0.3">
      <c r="A128" s="22">
        <v>46134</v>
      </c>
      <c r="B128" s="23" t="s">
        <v>176</v>
      </c>
      <c r="C128" s="23" t="s">
        <v>163</v>
      </c>
      <c r="D128" s="23" t="s">
        <v>92</v>
      </c>
      <c r="E128" s="23" t="s">
        <v>120</v>
      </c>
      <c r="F128" s="23" t="s">
        <v>177</v>
      </c>
      <c r="G128" s="24" t="str">
        <f>IFERROR(VLOOKUP(F128, Price_Master!$A$2:$C$201, 2, FALSE), "")</f>
        <v/>
      </c>
      <c r="H128" s="25">
        <f>IFERROR(VLOOKUP(F128, Price_Master!$A$2:$C$201, 3, FALSE), 0)</f>
        <v>0</v>
      </c>
      <c r="I128" s="24" t="str">
        <f>IFERROR(G128*H128, "")</f>
        <v/>
      </c>
    </row>
    <row r="129" spans="1:9" ht="18.75" x14ac:dyDescent="0.3">
      <c r="A129" s="22"/>
      <c r="B129" s="23"/>
      <c r="C129" s="23"/>
      <c r="D129" s="23"/>
      <c r="E129" s="23" t="s">
        <v>120</v>
      </c>
      <c r="F129" s="23" t="s">
        <v>52</v>
      </c>
      <c r="G129" s="24">
        <f>IFERROR(VLOOKUP(F129, Price_Master!$A$2:$C$201, 2, FALSE), "")</f>
        <v>10000</v>
      </c>
      <c r="H129" s="25">
        <f>IFERROR(VLOOKUP(F129, Price_Master!$A$2:$C$201, 3, FALSE), 0)</f>
        <v>0.15</v>
      </c>
      <c r="I129" s="24">
        <f>IFERROR(G129*H129, "")</f>
        <v>1500</v>
      </c>
    </row>
    <row r="188" spans="12:12" x14ac:dyDescent="0.25">
      <c r="L188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ACB9B-7B69-47A5-B126-60FECCCAEF08}">
  <dimension ref="A3:B33"/>
  <sheetViews>
    <sheetView workbookViewId="0">
      <selection activeCell="B7" sqref="B7"/>
    </sheetView>
  </sheetViews>
  <sheetFormatPr defaultRowHeight="15" x14ac:dyDescent="0.25"/>
  <cols>
    <col min="1" max="1" width="15.85546875" bestFit="1" customWidth="1"/>
    <col min="2" max="2" width="13.5703125" bestFit="1" customWidth="1"/>
  </cols>
  <sheetData>
    <row r="3" spans="1:2" ht="18.75" x14ac:dyDescent="0.3">
      <c r="A3" s="7" t="s">
        <v>74</v>
      </c>
      <c r="B3" s="8" t="s">
        <v>78</v>
      </c>
    </row>
    <row r="4" spans="1:2" x14ac:dyDescent="0.25">
      <c r="A4" s="4" t="s">
        <v>7</v>
      </c>
      <c r="B4" s="30">
        <v>17</v>
      </c>
    </row>
    <row r="5" spans="1:2" x14ac:dyDescent="0.25">
      <c r="A5" s="4" t="s">
        <v>15</v>
      </c>
      <c r="B5" s="30">
        <v>13</v>
      </c>
    </row>
    <row r="6" spans="1:2" x14ac:dyDescent="0.25">
      <c r="A6" s="4" t="s">
        <v>8</v>
      </c>
      <c r="B6" s="30">
        <v>11</v>
      </c>
    </row>
    <row r="7" spans="1:2" x14ac:dyDescent="0.25">
      <c r="A7" s="4" t="s">
        <v>57</v>
      </c>
      <c r="B7" s="30">
        <v>8</v>
      </c>
    </row>
    <row r="8" spans="1:2" x14ac:dyDescent="0.25">
      <c r="A8" s="4" t="s">
        <v>49</v>
      </c>
      <c r="B8" s="30">
        <v>8</v>
      </c>
    </row>
    <row r="9" spans="1:2" x14ac:dyDescent="0.25">
      <c r="A9" s="4" t="s">
        <v>22</v>
      </c>
      <c r="B9" s="30">
        <v>7</v>
      </c>
    </row>
    <row r="10" spans="1:2" x14ac:dyDescent="0.25">
      <c r="A10" s="4" t="s">
        <v>50</v>
      </c>
      <c r="B10" s="30">
        <v>7</v>
      </c>
    </row>
    <row r="11" spans="1:2" x14ac:dyDescent="0.25">
      <c r="A11" s="4" t="s">
        <v>21</v>
      </c>
      <c r="B11" s="30">
        <v>7</v>
      </c>
    </row>
    <row r="12" spans="1:2" x14ac:dyDescent="0.25">
      <c r="A12" s="4" t="s">
        <v>60</v>
      </c>
      <c r="B12" s="30">
        <v>5</v>
      </c>
    </row>
    <row r="13" spans="1:2" x14ac:dyDescent="0.25">
      <c r="A13" s="4" t="s">
        <v>37</v>
      </c>
      <c r="B13" s="30">
        <v>4</v>
      </c>
    </row>
    <row r="14" spans="1:2" x14ac:dyDescent="0.25">
      <c r="A14" s="4" t="s">
        <v>83</v>
      </c>
      <c r="B14" s="30">
        <v>4</v>
      </c>
    </row>
    <row r="15" spans="1:2" x14ac:dyDescent="0.25">
      <c r="A15" s="4" t="s">
        <v>58</v>
      </c>
      <c r="B15" s="30">
        <v>4</v>
      </c>
    </row>
    <row r="16" spans="1:2" x14ac:dyDescent="0.25">
      <c r="A16" s="4" t="s">
        <v>18</v>
      </c>
      <c r="B16" s="30">
        <v>3</v>
      </c>
    </row>
    <row r="17" spans="1:2" x14ac:dyDescent="0.25">
      <c r="A17" s="4" t="s">
        <v>44</v>
      </c>
      <c r="B17" s="30">
        <v>3</v>
      </c>
    </row>
    <row r="18" spans="1:2" x14ac:dyDescent="0.25">
      <c r="A18" s="4" t="s">
        <v>9</v>
      </c>
      <c r="B18" s="30">
        <v>3</v>
      </c>
    </row>
    <row r="19" spans="1:2" x14ac:dyDescent="0.25">
      <c r="A19" s="4" t="s">
        <v>13</v>
      </c>
      <c r="B19" s="30">
        <v>3</v>
      </c>
    </row>
    <row r="20" spans="1:2" x14ac:dyDescent="0.25">
      <c r="A20" s="4" t="s">
        <v>14</v>
      </c>
      <c r="B20" s="30">
        <v>2</v>
      </c>
    </row>
    <row r="21" spans="1:2" x14ac:dyDescent="0.25">
      <c r="A21" s="4" t="s">
        <v>43</v>
      </c>
      <c r="B21" s="30">
        <v>2</v>
      </c>
    </row>
    <row r="22" spans="1:2" x14ac:dyDescent="0.25">
      <c r="A22" s="4" t="s">
        <v>10</v>
      </c>
      <c r="B22" s="30">
        <v>2</v>
      </c>
    </row>
    <row r="23" spans="1:2" x14ac:dyDescent="0.25">
      <c r="A23" s="4" t="s">
        <v>72</v>
      </c>
      <c r="B23" s="30">
        <v>2</v>
      </c>
    </row>
    <row r="24" spans="1:2" x14ac:dyDescent="0.25">
      <c r="A24" s="4" t="s">
        <v>11</v>
      </c>
      <c r="B24" s="30">
        <v>2</v>
      </c>
    </row>
    <row r="25" spans="1:2" x14ac:dyDescent="0.25">
      <c r="A25" s="4" t="s">
        <v>17</v>
      </c>
      <c r="B25" s="30">
        <v>2</v>
      </c>
    </row>
    <row r="26" spans="1:2" x14ac:dyDescent="0.25">
      <c r="A26" s="4" t="s">
        <v>47</v>
      </c>
      <c r="B26" s="30">
        <v>2</v>
      </c>
    </row>
    <row r="27" spans="1:2" x14ac:dyDescent="0.25">
      <c r="A27" s="4" t="s">
        <v>53</v>
      </c>
      <c r="B27" s="30">
        <v>2</v>
      </c>
    </row>
    <row r="28" spans="1:2" x14ac:dyDescent="0.25">
      <c r="A28" s="4" t="s">
        <v>177</v>
      </c>
      <c r="B28" s="30">
        <v>1</v>
      </c>
    </row>
    <row r="29" spans="1:2" x14ac:dyDescent="0.25">
      <c r="A29" s="4" t="s">
        <v>52</v>
      </c>
      <c r="B29" s="30">
        <v>1</v>
      </c>
    </row>
    <row r="30" spans="1:2" x14ac:dyDescent="0.25">
      <c r="A30" s="4" t="s">
        <v>56</v>
      </c>
      <c r="B30" s="30">
        <v>1</v>
      </c>
    </row>
    <row r="31" spans="1:2" x14ac:dyDescent="0.25">
      <c r="A31" s="4" t="s">
        <v>38</v>
      </c>
      <c r="B31" s="30">
        <v>1</v>
      </c>
    </row>
    <row r="32" spans="1:2" x14ac:dyDescent="0.25">
      <c r="A32" s="4" t="s">
        <v>19</v>
      </c>
      <c r="B32" s="30">
        <v>1</v>
      </c>
    </row>
    <row r="33" spans="1:2" x14ac:dyDescent="0.25">
      <c r="A33" s="4" t="s">
        <v>12</v>
      </c>
      <c r="B33" s="30">
        <v>128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DC491-1821-41EF-9ACA-18B48BF72AEE}">
  <dimension ref="A1:B16"/>
  <sheetViews>
    <sheetView workbookViewId="0">
      <selection activeCell="B4" sqref="B4"/>
    </sheetView>
  </sheetViews>
  <sheetFormatPr defaultRowHeight="15" x14ac:dyDescent="0.25"/>
  <cols>
    <col min="1" max="1" width="18.42578125" bestFit="1" customWidth="1"/>
    <col min="2" max="2" width="28.85546875" bestFit="1" customWidth="1"/>
  </cols>
  <sheetData>
    <row r="1" spans="1:2" x14ac:dyDescent="0.25">
      <c r="A1" s="5" t="s">
        <v>74</v>
      </c>
      <c r="B1" s="6" t="s">
        <v>75</v>
      </c>
    </row>
    <row r="3" spans="1:2" ht="18.75" x14ac:dyDescent="0.3">
      <c r="A3" s="7" t="s">
        <v>76</v>
      </c>
      <c r="B3" s="8" t="s">
        <v>77</v>
      </c>
    </row>
    <row r="4" spans="1:2" x14ac:dyDescent="0.25">
      <c r="A4" s="27" t="s">
        <v>89</v>
      </c>
      <c r="B4" s="10">
        <v>90350</v>
      </c>
    </row>
    <row r="5" spans="1:2" x14ac:dyDescent="0.25">
      <c r="A5" s="29" t="s">
        <v>115</v>
      </c>
      <c r="B5" s="26">
        <v>67800</v>
      </c>
    </row>
    <row r="6" spans="1:2" x14ac:dyDescent="0.25">
      <c r="A6" s="29" t="s">
        <v>123</v>
      </c>
      <c r="B6" s="26">
        <v>53050</v>
      </c>
    </row>
    <row r="7" spans="1:2" x14ac:dyDescent="0.25">
      <c r="A7" s="29" t="s">
        <v>128</v>
      </c>
      <c r="B7" s="26">
        <v>8400</v>
      </c>
    </row>
    <row r="8" spans="1:2" x14ac:dyDescent="0.25">
      <c r="A8" s="29" t="s">
        <v>82</v>
      </c>
      <c r="B8" s="26">
        <v>6450</v>
      </c>
    </row>
    <row r="9" spans="1:2" x14ac:dyDescent="0.25">
      <c r="A9" s="29" t="s">
        <v>120</v>
      </c>
      <c r="B9" s="26">
        <v>5000</v>
      </c>
    </row>
    <row r="10" spans="1:2" x14ac:dyDescent="0.25">
      <c r="A10" s="29" t="s">
        <v>117</v>
      </c>
      <c r="B10" s="26">
        <v>4500</v>
      </c>
    </row>
    <row r="11" spans="1:2" x14ac:dyDescent="0.25">
      <c r="A11" s="29" t="s">
        <v>107</v>
      </c>
      <c r="B11" s="26">
        <v>2150</v>
      </c>
    </row>
    <row r="12" spans="1:2" x14ac:dyDescent="0.25">
      <c r="A12" s="29" t="s">
        <v>143</v>
      </c>
      <c r="B12" s="26">
        <v>1750</v>
      </c>
    </row>
    <row r="13" spans="1:2" x14ac:dyDescent="0.25">
      <c r="A13" s="29" t="s">
        <v>98</v>
      </c>
      <c r="B13" s="26">
        <v>1100</v>
      </c>
    </row>
    <row r="14" spans="1:2" x14ac:dyDescent="0.25">
      <c r="A14" s="29" t="s">
        <v>104</v>
      </c>
      <c r="B14" s="26">
        <v>600</v>
      </c>
    </row>
    <row r="15" spans="1:2" x14ac:dyDescent="0.25">
      <c r="A15" s="28" t="s">
        <v>137</v>
      </c>
      <c r="B15" s="26">
        <v>600</v>
      </c>
    </row>
    <row r="16" spans="1:2" x14ac:dyDescent="0.25">
      <c r="A16" s="4" t="s">
        <v>12</v>
      </c>
      <c r="B16" s="11">
        <v>241750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8569A-694E-4797-B0E0-513DDB521C3C}">
  <dimension ref="A1:C69"/>
  <sheetViews>
    <sheetView topLeftCell="A40" workbookViewId="0">
      <selection activeCell="A54" sqref="A54"/>
    </sheetView>
  </sheetViews>
  <sheetFormatPr defaultRowHeight="15" x14ac:dyDescent="0.25"/>
  <cols>
    <col min="1" max="1" width="19.28515625" bestFit="1" customWidth="1"/>
    <col min="2" max="2" width="9.140625" style="1"/>
    <col min="3" max="3" width="9.140625" style="3"/>
  </cols>
  <sheetData>
    <row r="1" spans="1:3" x14ac:dyDescent="0.25">
      <c r="A1" t="s">
        <v>5</v>
      </c>
      <c r="B1" s="1" t="s">
        <v>6</v>
      </c>
      <c r="C1" s="3" t="s">
        <v>54</v>
      </c>
    </row>
    <row r="2" spans="1:3" x14ac:dyDescent="0.25">
      <c r="A2" t="s">
        <v>7</v>
      </c>
      <c r="B2" s="1">
        <v>30000</v>
      </c>
      <c r="C2" s="3">
        <v>0.15</v>
      </c>
    </row>
    <row r="3" spans="1:3" x14ac:dyDescent="0.25">
      <c r="A3" t="s">
        <v>52</v>
      </c>
      <c r="B3" s="1">
        <v>10000</v>
      </c>
      <c r="C3" s="3">
        <v>0.15</v>
      </c>
    </row>
    <row r="4" spans="1:3" x14ac:dyDescent="0.25">
      <c r="A4" t="s">
        <v>13</v>
      </c>
      <c r="B4" s="1">
        <v>10000</v>
      </c>
      <c r="C4" s="3">
        <v>0.15</v>
      </c>
    </row>
    <row r="5" spans="1:3" x14ac:dyDescent="0.25">
      <c r="A5" t="s">
        <v>14</v>
      </c>
      <c r="B5" s="1">
        <v>7000</v>
      </c>
      <c r="C5" s="3">
        <v>0.15</v>
      </c>
    </row>
    <row r="6" spans="1:3" x14ac:dyDescent="0.25">
      <c r="A6" t="s">
        <v>15</v>
      </c>
      <c r="B6" s="1">
        <v>30000</v>
      </c>
      <c r="C6" s="3">
        <v>0.15</v>
      </c>
    </row>
    <row r="7" spans="1:3" x14ac:dyDescent="0.25">
      <c r="A7" t="s">
        <v>56</v>
      </c>
      <c r="B7" s="1">
        <v>10000</v>
      </c>
      <c r="C7" s="3">
        <v>0.15</v>
      </c>
    </row>
    <row r="8" spans="1:3" x14ac:dyDescent="0.25">
      <c r="A8" t="s">
        <v>49</v>
      </c>
      <c r="B8" s="1">
        <v>10000</v>
      </c>
      <c r="C8" s="3">
        <v>0.15</v>
      </c>
    </row>
    <row r="9" spans="1:3" x14ac:dyDescent="0.25">
      <c r="A9" t="s">
        <v>10</v>
      </c>
      <c r="B9" s="1">
        <v>10000</v>
      </c>
      <c r="C9" s="3">
        <v>0.15</v>
      </c>
    </row>
    <row r="10" spans="1:3" x14ac:dyDescent="0.25">
      <c r="A10" t="s">
        <v>41</v>
      </c>
      <c r="B10" s="1">
        <v>10000</v>
      </c>
      <c r="C10" s="3">
        <v>0.15</v>
      </c>
    </row>
    <row r="11" spans="1:3" x14ac:dyDescent="0.25">
      <c r="A11" t="s">
        <v>11</v>
      </c>
      <c r="B11" s="1">
        <v>36000</v>
      </c>
      <c r="C11" s="3">
        <v>0.15</v>
      </c>
    </row>
    <row r="12" spans="1:3" x14ac:dyDescent="0.25">
      <c r="A12" t="s">
        <v>28</v>
      </c>
      <c r="B12" s="1">
        <v>10000</v>
      </c>
      <c r="C12" s="3">
        <v>0.15</v>
      </c>
    </row>
    <row r="13" spans="1:3" x14ac:dyDescent="0.25">
      <c r="A13" t="s">
        <v>29</v>
      </c>
      <c r="B13" s="1">
        <v>10000</v>
      </c>
      <c r="C13" s="3">
        <v>0.15</v>
      </c>
    </row>
    <row r="14" spans="1:3" x14ac:dyDescent="0.25">
      <c r="A14" t="s">
        <v>30</v>
      </c>
      <c r="B14" s="1">
        <v>10000</v>
      </c>
      <c r="C14" s="3">
        <v>0.15</v>
      </c>
    </row>
    <row r="15" spans="1:3" x14ac:dyDescent="0.25">
      <c r="A15" t="s">
        <v>31</v>
      </c>
      <c r="B15" s="1">
        <v>10000</v>
      </c>
      <c r="C15" s="3">
        <v>0.15</v>
      </c>
    </row>
    <row r="16" spans="1:3" x14ac:dyDescent="0.25">
      <c r="A16" t="s">
        <v>32</v>
      </c>
      <c r="B16" s="1">
        <v>10000</v>
      </c>
      <c r="C16" s="3">
        <v>0.15</v>
      </c>
    </row>
    <row r="17" spans="1:3" x14ac:dyDescent="0.25">
      <c r="A17" t="s">
        <v>33</v>
      </c>
      <c r="B17" s="1">
        <v>25000</v>
      </c>
      <c r="C17" s="3">
        <v>0.15</v>
      </c>
    </row>
    <row r="18" spans="1:3" x14ac:dyDescent="0.25">
      <c r="A18" t="s">
        <v>34</v>
      </c>
      <c r="B18" s="1">
        <v>10000</v>
      </c>
      <c r="C18" s="3">
        <v>0.15</v>
      </c>
    </row>
    <row r="19" spans="1:3" x14ac:dyDescent="0.25">
      <c r="A19" t="s">
        <v>35</v>
      </c>
      <c r="B19" s="1">
        <v>10000</v>
      </c>
      <c r="C19" s="3">
        <v>0.15</v>
      </c>
    </row>
    <row r="20" spans="1:3" x14ac:dyDescent="0.25">
      <c r="A20" t="s">
        <v>36</v>
      </c>
      <c r="B20" s="1">
        <v>10000</v>
      </c>
      <c r="C20" s="3">
        <v>0.15</v>
      </c>
    </row>
    <row r="21" spans="1:3" x14ac:dyDescent="0.25">
      <c r="A21" t="s">
        <v>37</v>
      </c>
      <c r="B21" s="1">
        <v>36000</v>
      </c>
      <c r="C21" s="3">
        <v>0.15</v>
      </c>
    </row>
    <row r="22" spans="1:3" x14ac:dyDescent="0.25">
      <c r="A22" t="s">
        <v>38</v>
      </c>
      <c r="B22" s="1">
        <v>10000</v>
      </c>
      <c r="C22" s="3">
        <v>0.15</v>
      </c>
    </row>
    <row r="23" spans="1:3" x14ac:dyDescent="0.25">
      <c r="A23" t="s">
        <v>39</v>
      </c>
      <c r="B23" s="1">
        <v>10000</v>
      </c>
      <c r="C23" s="3">
        <v>0.15</v>
      </c>
    </row>
    <row r="24" spans="1:3" x14ac:dyDescent="0.25">
      <c r="A24" t="s">
        <v>40</v>
      </c>
      <c r="B24" s="1">
        <v>10000</v>
      </c>
      <c r="C24" s="3">
        <v>0.15</v>
      </c>
    </row>
    <row r="25" spans="1:3" x14ac:dyDescent="0.25">
      <c r="A25" t="s">
        <v>26</v>
      </c>
      <c r="B25" s="1">
        <v>10000</v>
      </c>
      <c r="C25" s="3">
        <v>0.15</v>
      </c>
    </row>
    <row r="26" spans="1:3" x14ac:dyDescent="0.25">
      <c r="A26" t="s">
        <v>27</v>
      </c>
      <c r="B26" s="1">
        <v>10000</v>
      </c>
      <c r="C26" s="3">
        <v>0.15</v>
      </c>
    </row>
    <row r="28" spans="1:3" x14ac:dyDescent="0.25">
      <c r="A28" t="s">
        <v>81</v>
      </c>
      <c r="B28" s="1">
        <v>12000</v>
      </c>
      <c r="C28" s="3">
        <v>0.05</v>
      </c>
    </row>
    <row r="29" spans="1:3" x14ac:dyDescent="0.25">
      <c r="A29" t="s">
        <v>8</v>
      </c>
      <c r="B29" s="1">
        <v>12000</v>
      </c>
      <c r="C29" s="3">
        <v>0.05</v>
      </c>
    </row>
    <row r="30" spans="1:3" x14ac:dyDescent="0.25">
      <c r="A30" t="s">
        <v>17</v>
      </c>
      <c r="B30" s="1">
        <v>12000</v>
      </c>
      <c r="C30" s="3">
        <v>0.05</v>
      </c>
    </row>
    <row r="31" spans="1:3" x14ac:dyDescent="0.25">
      <c r="A31" t="s">
        <v>16</v>
      </c>
      <c r="B31" s="1">
        <v>5000</v>
      </c>
      <c r="C31" s="3">
        <v>0.05</v>
      </c>
    </row>
    <row r="32" spans="1:3" x14ac:dyDescent="0.25">
      <c r="A32" t="s">
        <v>57</v>
      </c>
      <c r="B32" s="1">
        <v>10000</v>
      </c>
      <c r="C32" s="3">
        <v>0.05</v>
      </c>
    </row>
    <row r="33" spans="1:3" x14ac:dyDescent="0.25">
      <c r="A33" t="s">
        <v>58</v>
      </c>
      <c r="B33" s="1">
        <v>12000</v>
      </c>
      <c r="C33" s="3">
        <v>0.05</v>
      </c>
    </row>
    <row r="34" spans="1:3" x14ac:dyDescent="0.25">
      <c r="A34" t="s">
        <v>18</v>
      </c>
      <c r="B34" s="1">
        <v>25000</v>
      </c>
      <c r="C34" s="3">
        <v>0.05</v>
      </c>
    </row>
    <row r="35" spans="1:3" x14ac:dyDescent="0.25">
      <c r="A35" t="s">
        <v>20</v>
      </c>
      <c r="B35" s="1">
        <v>15000</v>
      </c>
      <c r="C35" s="3">
        <v>0.05</v>
      </c>
    </row>
    <row r="36" spans="1:3" x14ac:dyDescent="0.25">
      <c r="A36" t="s">
        <v>19</v>
      </c>
      <c r="B36" s="1">
        <v>15000</v>
      </c>
      <c r="C36" s="3">
        <v>0.05</v>
      </c>
    </row>
    <row r="37" spans="1:3" x14ac:dyDescent="0.25">
      <c r="A37" t="s">
        <v>21</v>
      </c>
      <c r="B37" s="1">
        <v>10000</v>
      </c>
      <c r="C37" s="3">
        <v>0.05</v>
      </c>
    </row>
    <row r="38" spans="1:3" x14ac:dyDescent="0.25">
      <c r="A38" t="s">
        <v>50</v>
      </c>
      <c r="B38" s="1">
        <v>7000</v>
      </c>
      <c r="C38" s="3">
        <v>0.05</v>
      </c>
    </row>
    <row r="39" spans="1:3" x14ac:dyDescent="0.25">
      <c r="A39" t="s">
        <v>22</v>
      </c>
      <c r="B39" s="1">
        <v>7000</v>
      </c>
      <c r="C39" s="3">
        <v>0.05</v>
      </c>
    </row>
    <row r="40" spans="1:3" x14ac:dyDescent="0.25">
      <c r="A40" t="s">
        <v>24</v>
      </c>
      <c r="B40" s="1">
        <v>7000</v>
      </c>
      <c r="C40" s="3">
        <v>0.05</v>
      </c>
    </row>
    <row r="41" spans="1:3" x14ac:dyDescent="0.25">
      <c r="A41" t="s">
        <v>25</v>
      </c>
      <c r="B41" s="1">
        <v>12000</v>
      </c>
      <c r="C41" s="3">
        <v>0.05</v>
      </c>
    </row>
    <row r="42" spans="1:3" x14ac:dyDescent="0.25">
      <c r="A42" t="s">
        <v>23</v>
      </c>
      <c r="B42" s="1">
        <v>25000</v>
      </c>
      <c r="C42" s="3">
        <v>0.05</v>
      </c>
    </row>
    <row r="43" spans="1:3" x14ac:dyDescent="0.25">
      <c r="A43" t="s">
        <v>59</v>
      </c>
      <c r="B43" s="1">
        <v>7000</v>
      </c>
      <c r="C43" s="3">
        <v>0.05</v>
      </c>
    </row>
    <row r="44" spans="1:3" x14ac:dyDescent="0.25">
      <c r="A44" t="s">
        <v>9</v>
      </c>
      <c r="B44" s="1">
        <v>25000</v>
      </c>
      <c r="C44" s="3">
        <v>0.05</v>
      </c>
    </row>
    <row r="45" spans="1:3" x14ac:dyDescent="0.25">
      <c r="A45" t="s">
        <v>42</v>
      </c>
      <c r="B45" s="1">
        <v>20000</v>
      </c>
      <c r="C45" s="3">
        <v>0.05</v>
      </c>
    </row>
    <row r="46" spans="1:3" x14ac:dyDescent="0.25">
      <c r="A46" t="s">
        <v>43</v>
      </c>
      <c r="B46" s="1">
        <v>20000</v>
      </c>
      <c r="C46" s="3">
        <v>0.05</v>
      </c>
    </row>
    <row r="47" spans="1:3" x14ac:dyDescent="0.25">
      <c r="A47" t="s">
        <v>44</v>
      </c>
      <c r="B47" s="1">
        <v>25000</v>
      </c>
      <c r="C47" s="3">
        <v>0.05</v>
      </c>
    </row>
    <row r="48" spans="1:3" x14ac:dyDescent="0.25">
      <c r="A48" t="s">
        <v>47</v>
      </c>
      <c r="B48" s="1">
        <v>30000</v>
      </c>
      <c r="C48" s="3">
        <v>0.05</v>
      </c>
    </row>
    <row r="49" spans="1:3" x14ac:dyDescent="0.25">
      <c r="A49" t="s">
        <v>46</v>
      </c>
      <c r="B49" s="1">
        <v>10000</v>
      </c>
      <c r="C49" s="3">
        <v>0.05</v>
      </c>
    </row>
    <row r="50" spans="1:3" x14ac:dyDescent="0.25">
      <c r="A50" t="s">
        <v>53</v>
      </c>
      <c r="B50" s="1">
        <v>10000</v>
      </c>
      <c r="C50" s="3">
        <v>0.05</v>
      </c>
    </row>
    <row r="51" spans="1:3" x14ac:dyDescent="0.25">
      <c r="A51" t="s">
        <v>45</v>
      </c>
      <c r="B51" s="1">
        <v>15000</v>
      </c>
      <c r="C51" s="3">
        <v>0.05</v>
      </c>
    </row>
    <row r="52" spans="1:3" x14ac:dyDescent="0.25">
      <c r="A52" t="s">
        <v>60</v>
      </c>
      <c r="B52" s="1">
        <v>25000</v>
      </c>
      <c r="C52" s="3">
        <v>0.05</v>
      </c>
    </row>
    <row r="53" spans="1:3" x14ac:dyDescent="0.25">
      <c r="A53" t="s">
        <v>83</v>
      </c>
      <c r="B53" s="1">
        <v>7000</v>
      </c>
      <c r="C53" s="3">
        <v>0.05</v>
      </c>
    </row>
    <row r="55" spans="1:3" x14ac:dyDescent="0.25">
      <c r="A55" t="s">
        <v>62</v>
      </c>
      <c r="B55" s="1">
        <v>8000</v>
      </c>
      <c r="C55" s="3">
        <v>0</v>
      </c>
    </row>
    <row r="56" spans="1:3" x14ac:dyDescent="0.25">
      <c r="A56" t="s">
        <v>63</v>
      </c>
      <c r="B56" s="1">
        <v>8000</v>
      </c>
      <c r="C56" s="3">
        <v>0</v>
      </c>
    </row>
    <row r="57" spans="1:3" x14ac:dyDescent="0.25">
      <c r="A57" t="s">
        <v>64</v>
      </c>
      <c r="B57" s="1">
        <v>30000</v>
      </c>
      <c r="C57" s="3">
        <v>0</v>
      </c>
    </row>
    <row r="58" spans="1:3" x14ac:dyDescent="0.25">
      <c r="A58" t="s">
        <v>65</v>
      </c>
      <c r="B58" s="1">
        <v>30000</v>
      </c>
      <c r="C58" s="3">
        <v>0</v>
      </c>
    </row>
    <row r="59" spans="1:3" x14ac:dyDescent="0.25">
      <c r="A59" t="s">
        <v>66</v>
      </c>
      <c r="B59" s="1">
        <v>15000</v>
      </c>
      <c r="C59" s="3">
        <v>0</v>
      </c>
    </row>
    <row r="60" spans="1:3" x14ac:dyDescent="0.25">
      <c r="A60" t="s">
        <v>67</v>
      </c>
      <c r="B60" s="1">
        <v>15000</v>
      </c>
      <c r="C60" s="3">
        <v>0</v>
      </c>
    </row>
    <row r="61" spans="1:3" x14ac:dyDescent="0.25">
      <c r="A61" t="s">
        <v>68</v>
      </c>
      <c r="B61" s="1">
        <v>10000</v>
      </c>
      <c r="C61" s="3">
        <v>0</v>
      </c>
    </row>
    <row r="62" spans="1:3" x14ac:dyDescent="0.25">
      <c r="A62" t="s">
        <v>69</v>
      </c>
      <c r="B62" s="1">
        <v>18000</v>
      </c>
      <c r="C62" s="3">
        <v>0</v>
      </c>
    </row>
    <row r="63" spans="1:3" x14ac:dyDescent="0.25">
      <c r="A63" t="s">
        <v>70</v>
      </c>
      <c r="B63" s="1">
        <v>25000</v>
      </c>
      <c r="C63" s="3">
        <v>0</v>
      </c>
    </row>
    <row r="64" spans="1:3" x14ac:dyDescent="0.25">
      <c r="A64" t="s">
        <v>71</v>
      </c>
      <c r="B64" s="1">
        <v>28000</v>
      </c>
      <c r="C64" s="3">
        <v>0</v>
      </c>
    </row>
    <row r="65" spans="1:3" x14ac:dyDescent="0.25">
      <c r="A65" t="s">
        <v>72</v>
      </c>
      <c r="B65" s="1">
        <v>30000</v>
      </c>
      <c r="C65" s="3">
        <v>0</v>
      </c>
    </row>
    <row r="66" spans="1:3" x14ac:dyDescent="0.25">
      <c r="A66" t="s">
        <v>48</v>
      </c>
      <c r="B66" s="1">
        <v>25000</v>
      </c>
      <c r="C66" s="3">
        <v>0</v>
      </c>
    </row>
    <row r="67" spans="1:3" x14ac:dyDescent="0.25">
      <c r="A67" t="s">
        <v>73</v>
      </c>
      <c r="B67" s="1">
        <v>7000</v>
      </c>
      <c r="C67" s="3">
        <v>0</v>
      </c>
    </row>
    <row r="68" spans="1:3" x14ac:dyDescent="0.25">
      <c r="A68" t="s">
        <v>51</v>
      </c>
      <c r="B68" s="1">
        <v>15000</v>
      </c>
      <c r="C68" s="3">
        <v>0</v>
      </c>
    </row>
    <row r="69" spans="1:3" x14ac:dyDescent="0.25">
      <c r="A69" t="s">
        <v>79</v>
      </c>
      <c r="B69" s="1">
        <v>40000</v>
      </c>
      <c r="C69" s="3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162AD4-4FD0-40DE-B28B-453ABC50AE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Daily_table</vt:lpstr>
      <vt:lpstr>Test_Count</vt:lpstr>
      <vt:lpstr>ReferBy-Table</vt:lpstr>
      <vt:lpstr>Price_Master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 Paing</dc:creator>
  <cp:lastModifiedBy>Sat Paing</cp:lastModifiedBy>
  <dcterms:created xsi:type="dcterms:W3CDTF">2026-01-04T12:36:41Z</dcterms:created>
  <dcterms:modified xsi:type="dcterms:W3CDTF">2026-04-23T06:51:51Z</dcterms:modified>
</cp:coreProperties>
</file>