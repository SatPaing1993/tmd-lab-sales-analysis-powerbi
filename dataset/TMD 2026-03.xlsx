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ers\OneDrive\Desktop\"/>
    </mc:Choice>
  </mc:AlternateContent>
  <xr:revisionPtr revIDLastSave="0" documentId="13_ncr:1_{C3C72C65-6EDD-45A9-B1A3-9503DA61C790}" xr6:coauthVersionLast="47" xr6:coauthVersionMax="47" xr10:uidLastSave="{00000000-0000-0000-0000-000000000000}"/>
  <bookViews>
    <workbookView xWindow="-120" yWindow="-120" windowWidth="29040" windowHeight="15990" xr2:uid="{B00E47AA-8DC5-477E-B4E8-FBC794265F6A}"/>
  </bookViews>
  <sheets>
    <sheet name="Daily_table" sheetId="1" r:id="rId1"/>
    <sheet name="Test_Count" sheetId="6" r:id="rId2"/>
    <sheet name="ReferBy-Table" sheetId="5" r:id="rId3"/>
    <sheet name="Price_Master" sheetId="3" r:id="rId4"/>
  </sheets>
  <definedNames>
    <definedName name="_xlcn.WorksheetConnection_TMD202601.xlsxTable21" hidden="1">Daily_table!$A$1:$I$61</definedName>
    <definedName name="_xlcn.WorksheetConnection_TMD202601.xlsxtblPrice1" hidden="1">tblPrice[]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Price" name="tblPrice" connection="WorksheetConnection_TMD 2026-01.xlsx!tblPrice"/>
          <x15:modelTable id="Table2" name="Table2" connection="WorksheetConnection_TMD 2026-01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6" i="1" l="1"/>
  <c r="L1" i="1" s="1"/>
  <c r="H196" i="1"/>
  <c r="G195" i="1"/>
  <c r="H195" i="1"/>
  <c r="G194" i="1"/>
  <c r="I194" i="1" s="1"/>
  <c r="H194" i="1"/>
  <c r="G193" i="1"/>
  <c r="H193" i="1"/>
  <c r="G192" i="1"/>
  <c r="H192" i="1"/>
  <c r="G191" i="1"/>
  <c r="I191" i="1" s="1"/>
  <c r="H191" i="1"/>
  <c r="G190" i="1"/>
  <c r="H190" i="1"/>
  <c r="G189" i="1"/>
  <c r="H189" i="1"/>
  <c r="G188" i="1"/>
  <c r="H188" i="1"/>
  <c r="G187" i="1"/>
  <c r="H187" i="1"/>
  <c r="G186" i="1"/>
  <c r="I186" i="1" s="1"/>
  <c r="H186" i="1"/>
  <c r="G185" i="1"/>
  <c r="H185" i="1"/>
  <c r="G184" i="1"/>
  <c r="I184" i="1" s="1"/>
  <c r="H184" i="1"/>
  <c r="G183" i="1"/>
  <c r="H183" i="1"/>
  <c r="G182" i="1"/>
  <c r="H182" i="1"/>
  <c r="G181" i="1"/>
  <c r="H181" i="1"/>
  <c r="G180" i="1"/>
  <c r="I180" i="1" s="1"/>
  <c r="H180" i="1"/>
  <c r="G179" i="1"/>
  <c r="I179" i="1" s="1"/>
  <c r="H179" i="1"/>
  <c r="G178" i="1"/>
  <c r="H178" i="1"/>
  <c r="G177" i="1"/>
  <c r="H177" i="1"/>
  <c r="G176" i="1"/>
  <c r="I176" i="1" s="1"/>
  <c r="H176" i="1"/>
  <c r="G175" i="1"/>
  <c r="H175" i="1"/>
  <c r="I175" i="1"/>
  <c r="G174" i="1"/>
  <c r="H174" i="1"/>
  <c r="I174" i="1"/>
  <c r="G173" i="1"/>
  <c r="I173" i="1" s="1"/>
  <c r="H173" i="1"/>
  <c r="G172" i="1"/>
  <c r="H172" i="1"/>
  <c r="G171" i="1"/>
  <c r="H171" i="1"/>
  <c r="G170" i="1"/>
  <c r="I170" i="1" s="1"/>
  <c r="H170" i="1"/>
  <c r="G169" i="1"/>
  <c r="H169" i="1"/>
  <c r="G168" i="1"/>
  <c r="H168" i="1"/>
  <c r="I168" i="1"/>
  <c r="G167" i="1"/>
  <c r="H167" i="1"/>
  <c r="G166" i="1"/>
  <c r="I166" i="1" s="1"/>
  <c r="H166" i="1"/>
  <c r="G165" i="1"/>
  <c r="H165" i="1"/>
  <c r="G164" i="1"/>
  <c r="H164" i="1"/>
  <c r="G163" i="1"/>
  <c r="H163" i="1"/>
  <c r="G162" i="1"/>
  <c r="H162" i="1"/>
  <c r="G161" i="1"/>
  <c r="H161" i="1"/>
  <c r="G160" i="1"/>
  <c r="H160" i="1"/>
  <c r="G159" i="1"/>
  <c r="H159" i="1"/>
  <c r="G158" i="1"/>
  <c r="H158" i="1"/>
  <c r="G157" i="1"/>
  <c r="H157" i="1"/>
  <c r="G156" i="1"/>
  <c r="H156" i="1"/>
  <c r="G155" i="1"/>
  <c r="I155" i="1" s="1"/>
  <c r="H155" i="1"/>
  <c r="G154" i="1"/>
  <c r="H154" i="1"/>
  <c r="G153" i="1"/>
  <c r="H153" i="1"/>
  <c r="G152" i="1"/>
  <c r="I152" i="1" s="1"/>
  <c r="H152" i="1"/>
  <c r="G151" i="1"/>
  <c r="H151" i="1"/>
  <c r="G150" i="1"/>
  <c r="H150" i="1"/>
  <c r="G149" i="1"/>
  <c r="I149" i="1" s="1"/>
  <c r="H149" i="1"/>
  <c r="G148" i="1"/>
  <c r="H148" i="1"/>
  <c r="G147" i="1"/>
  <c r="H147" i="1"/>
  <c r="G146" i="1"/>
  <c r="I146" i="1" s="1"/>
  <c r="H146" i="1"/>
  <c r="G145" i="1"/>
  <c r="H145" i="1"/>
  <c r="G144" i="1"/>
  <c r="H144" i="1"/>
  <c r="G143" i="1"/>
  <c r="H143" i="1"/>
  <c r="G142" i="1"/>
  <c r="H142" i="1"/>
  <c r="G141" i="1"/>
  <c r="H141" i="1"/>
  <c r="G140" i="1"/>
  <c r="H140" i="1"/>
  <c r="G139" i="1"/>
  <c r="H139" i="1"/>
  <c r="G138" i="1"/>
  <c r="H138" i="1"/>
  <c r="G137" i="1"/>
  <c r="H137" i="1"/>
  <c r="G136" i="1"/>
  <c r="H136" i="1"/>
  <c r="G135" i="1"/>
  <c r="H135" i="1"/>
  <c r="G134" i="1"/>
  <c r="I134" i="1" s="1"/>
  <c r="H134" i="1"/>
  <c r="G133" i="1"/>
  <c r="H133" i="1"/>
  <c r="G132" i="1"/>
  <c r="H132" i="1"/>
  <c r="G131" i="1"/>
  <c r="I131" i="1" s="1"/>
  <c r="H131" i="1"/>
  <c r="G130" i="1"/>
  <c r="H130" i="1"/>
  <c r="G129" i="1"/>
  <c r="H129" i="1"/>
  <c r="G128" i="1"/>
  <c r="H128" i="1"/>
  <c r="G127" i="1"/>
  <c r="H127" i="1"/>
  <c r="G126" i="1"/>
  <c r="H126" i="1"/>
  <c r="G125" i="1"/>
  <c r="H125" i="1"/>
  <c r="G124" i="1"/>
  <c r="H124" i="1"/>
  <c r="G123" i="1"/>
  <c r="H123" i="1"/>
  <c r="G122" i="1"/>
  <c r="I122" i="1" s="1"/>
  <c r="H122" i="1"/>
  <c r="G121" i="1"/>
  <c r="H121" i="1"/>
  <c r="G120" i="1"/>
  <c r="H120" i="1"/>
  <c r="G119" i="1"/>
  <c r="I119" i="1" s="1"/>
  <c r="H119" i="1"/>
  <c r="G118" i="1"/>
  <c r="H118" i="1"/>
  <c r="G117" i="1"/>
  <c r="H117" i="1"/>
  <c r="G116" i="1"/>
  <c r="H116" i="1"/>
  <c r="G115" i="1"/>
  <c r="H115" i="1"/>
  <c r="G114" i="1"/>
  <c r="H114" i="1"/>
  <c r="G113" i="1"/>
  <c r="H113" i="1"/>
  <c r="G112" i="1"/>
  <c r="H112" i="1"/>
  <c r="G111" i="1"/>
  <c r="H111" i="1"/>
  <c r="G110" i="1"/>
  <c r="H110" i="1"/>
  <c r="G109" i="1"/>
  <c r="H109" i="1"/>
  <c r="G108" i="1"/>
  <c r="H108" i="1"/>
  <c r="G107" i="1"/>
  <c r="H107" i="1"/>
  <c r="G106" i="1"/>
  <c r="H106" i="1"/>
  <c r="G105" i="1"/>
  <c r="H105" i="1"/>
  <c r="G104" i="1"/>
  <c r="H104" i="1"/>
  <c r="G103" i="1"/>
  <c r="H103" i="1"/>
  <c r="G102" i="1"/>
  <c r="H102" i="1"/>
  <c r="G101" i="1"/>
  <c r="H101" i="1"/>
  <c r="G100" i="1"/>
  <c r="H100" i="1"/>
  <c r="G99" i="1"/>
  <c r="H99" i="1"/>
  <c r="G98" i="1"/>
  <c r="H98" i="1"/>
  <c r="G97" i="1"/>
  <c r="H97" i="1"/>
  <c r="G96" i="1"/>
  <c r="H96" i="1"/>
  <c r="G95" i="1"/>
  <c r="H95" i="1"/>
  <c r="G94" i="1"/>
  <c r="H94" i="1"/>
  <c r="G93" i="1"/>
  <c r="H93" i="1"/>
  <c r="G92" i="1"/>
  <c r="H92" i="1"/>
  <c r="G91" i="1"/>
  <c r="H91" i="1"/>
  <c r="G90" i="1"/>
  <c r="H90" i="1"/>
  <c r="G89" i="1"/>
  <c r="H89" i="1"/>
  <c r="G88" i="1"/>
  <c r="H88" i="1"/>
  <c r="G87" i="1"/>
  <c r="H87" i="1"/>
  <c r="G86" i="1"/>
  <c r="H86" i="1"/>
  <c r="G85" i="1"/>
  <c r="H85" i="1"/>
  <c r="G84" i="1"/>
  <c r="H84" i="1"/>
  <c r="G83" i="1"/>
  <c r="H83" i="1"/>
  <c r="G82" i="1"/>
  <c r="H82" i="1"/>
  <c r="G81" i="1"/>
  <c r="H81" i="1"/>
  <c r="G80" i="1"/>
  <c r="H80" i="1"/>
  <c r="G79" i="1"/>
  <c r="H79" i="1"/>
  <c r="G78" i="1"/>
  <c r="H78" i="1"/>
  <c r="G77" i="1"/>
  <c r="H77" i="1"/>
  <c r="G76" i="1"/>
  <c r="H76" i="1"/>
  <c r="G75" i="1"/>
  <c r="H75" i="1"/>
  <c r="G74" i="1"/>
  <c r="H74" i="1"/>
  <c r="G73" i="1"/>
  <c r="H73" i="1"/>
  <c r="G72" i="1"/>
  <c r="H72" i="1"/>
  <c r="G71" i="1"/>
  <c r="H71" i="1"/>
  <c r="G70" i="1"/>
  <c r="H70" i="1"/>
  <c r="G69" i="1"/>
  <c r="H69" i="1"/>
  <c r="G68" i="1"/>
  <c r="H68" i="1"/>
  <c r="G67" i="1"/>
  <c r="H67" i="1"/>
  <c r="G66" i="1"/>
  <c r="H66" i="1"/>
  <c r="G65" i="1"/>
  <c r="H65" i="1"/>
  <c r="G64" i="1"/>
  <c r="H64" i="1"/>
  <c r="G63" i="1"/>
  <c r="H63" i="1"/>
  <c r="G62" i="1"/>
  <c r="H62" i="1"/>
  <c r="G61" i="1"/>
  <c r="H61" i="1"/>
  <c r="G60" i="1"/>
  <c r="H60" i="1"/>
  <c r="G59" i="1"/>
  <c r="H59" i="1"/>
  <c r="G58" i="1"/>
  <c r="H58" i="1"/>
  <c r="G57" i="1"/>
  <c r="H57" i="1"/>
  <c r="G56" i="1"/>
  <c r="H56" i="1"/>
  <c r="G55" i="1"/>
  <c r="H55" i="1"/>
  <c r="G54" i="1"/>
  <c r="H54" i="1"/>
  <c r="G53" i="1"/>
  <c r="H53" i="1"/>
  <c r="G52" i="1"/>
  <c r="H52" i="1"/>
  <c r="G51" i="1"/>
  <c r="H51" i="1"/>
  <c r="G50" i="1"/>
  <c r="H50" i="1"/>
  <c r="G49" i="1"/>
  <c r="H49" i="1"/>
  <c r="G48" i="1"/>
  <c r="H48" i="1"/>
  <c r="G47" i="1"/>
  <c r="H47" i="1"/>
  <c r="G46" i="1"/>
  <c r="H46" i="1"/>
  <c r="G45" i="1"/>
  <c r="H45" i="1"/>
  <c r="G44" i="1"/>
  <c r="H44" i="1"/>
  <c r="G43" i="1"/>
  <c r="H43" i="1"/>
  <c r="G42" i="1"/>
  <c r="H42" i="1"/>
  <c r="G41" i="1"/>
  <c r="H41" i="1"/>
  <c r="G40" i="1"/>
  <c r="H40" i="1"/>
  <c r="G39" i="1"/>
  <c r="H39" i="1"/>
  <c r="G38" i="1"/>
  <c r="H38" i="1"/>
  <c r="G37" i="1"/>
  <c r="H37" i="1"/>
  <c r="G36" i="1"/>
  <c r="H36" i="1"/>
  <c r="G35" i="1"/>
  <c r="H35" i="1"/>
  <c r="G34" i="1"/>
  <c r="H34" i="1"/>
  <c r="G33" i="1"/>
  <c r="H33" i="1"/>
  <c r="G32" i="1"/>
  <c r="H32" i="1"/>
  <c r="G31" i="1"/>
  <c r="H31" i="1"/>
  <c r="G30" i="1"/>
  <c r="H30" i="1"/>
  <c r="G29" i="1"/>
  <c r="H29" i="1"/>
  <c r="G28" i="1"/>
  <c r="H28" i="1"/>
  <c r="G27" i="1"/>
  <c r="H27" i="1"/>
  <c r="G26" i="1"/>
  <c r="H26" i="1"/>
  <c r="G25" i="1"/>
  <c r="H25" i="1"/>
  <c r="G24" i="1"/>
  <c r="H24" i="1"/>
  <c r="G23" i="1"/>
  <c r="H23" i="1"/>
  <c r="G22" i="1"/>
  <c r="H22" i="1"/>
  <c r="G21" i="1"/>
  <c r="H21" i="1"/>
  <c r="G20" i="1"/>
  <c r="H20" i="1"/>
  <c r="G19" i="1"/>
  <c r="H19" i="1"/>
  <c r="G18" i="1"/>
  <c r="H18" i="1"/>
  <c r="G17" i="1"/>
  <c r="H17" i="1"/>
  <c r="G16" i="1"/>
  <c r="H16" i="1"/>
  <c r="G15" i="1"/>
  <c r="H15" i="1"/>
  <c r="G14" i="1"/>
  <c r="H14" i="1"/>
  <c r="G13" i="1"/>
  <c r="H13" i="1"/>
  <c r="G12" i="1"/>
  <c r="H12" i="1"/>
  <c r="G11" i="1"/>
  <c r="H11" i="1"/>
  <c r="G10" i="1"/>
  <c r="H10" i="1"/>
  <c r="G9" i="1"/>
  <c r="H9" i="1"/>
  <c r="G8" i="1"/>
  <c r="H8" i="1"/>
  <c r="G7" i="1"/>
  <c r="H7" i="1"/>
  <c r="G6" i="1"/>
  <c r="H6" i="1"/>
  <c r="G5" i="1"/>
  <c r="H5" i="1"/>
  <c r="G4" i="1"/>
  <c r="H4" i="1"/>
  <c r="G3" i="1"/>
  <c r="H3" i="1"/>
  <c r="G2" i="1"/>
  <c r="H2" i="1"/>
  <c r="I196" i="1" l="1"/>
  <c r="I195" i="1"/>
  <c r="I193" i="1"/>
  <c r="I192" i="1"/>
  <c r="I190" i="1"/>
  <c r="I189" i="1"/>
  <c r="I188" i="1"/>
  <c r="I187" i="1"/>
  <c r="I185" i="1"/>
  <c r="I183" i="1"/>
  <c r="I182" i="1"/>
  <c r="I181" i="1"/>
  <c r="I178" i="1"/>
  <c r="I177" i="1"/>
  <c r="I172" i="1"/>
  <c r="I171" i="1"/>
  <c r="I169" i="1"/>
  <c r="I167" i="1"/>
  <c r="I165" i="1"/>
  <c r="I147" i="1"/>
  <c r="I150" i="1"/>
  <c r="I156" i="1"/>
  <c r="I159" i="1"/>
  <c r="I162" i="1"/>
  <c r="I164" i="1"/>
  <c r="I163" i="1"/>
  <c r="I161" i="1"/>
  <c r="I160" i="1"/>
  <c r="I158" i="1"/>
  <c r="I157" i="1"/>
  <c r="I154" i="1"/>
  <c r="I153" i="1"/>
  <c r="I151" i="1"/>
  <c r="I148" i="1"/>
  <c r="I145" i="1"/>
  <c r="I144" i="1"/>
  <c r="I143" i="1"/>
  <c r="I142" i="1"/>
  <c r="I141" i="1"/>
  <c r="I106" i="1"/>
  <c r="I140" i="1"/>
  <c r="I114" i="1"/>
  <c r="I117" i="1"/>
  <c r="I135" i="1"/>
  <c r="I138" i="1"/>
  <c r="I118" i="1"/>
  <c r="I121" i="1"/>
  <c r="I124" i="1"/>
  <c r="I95" i="1"/>
  <c r="I139" i="1"/>
  <c r="I137" i="1"/>
  <c r="I136" i="1"/>
  <c r="I133" i="1"/>
  <c r="I132" i="1"/>
  <c r="I130" i="1"/>
  <c r="I129" i="1"/>
  <c r="I128" i="1"/>
  <c r="I127" i="1"/>
  <c r="I126" i="1"/>
  <c r="I125" i="1"/>
  <c r="I123" i="1"/>
  <c r="I120" i="1"/>
  <c r="I67" i="1"/>
  <c r="I91" i="1"/>
  <c r="I76" i="1"/>
  <c r="I66" i="1"/>
  <c r="I72" i="1"/>
  <c r="I96" i="1"/>
  <c r="I99" i="1"/>
  <c r="I105" i="1"/>
  <c r="I77" i="1"/>
  <c r="I109" i="1"/>
  <c r="I98" i="1"/>
  <c r="I101" i="1"/>
  <c r="I104" i="1"/>
  <c r="I75" i="1"/>
  <c r="I79" i="1"/>
  <c r="I85" i="1"/>
  <c r="I108" i="1"/>
  <c r="I58" i="1"/>
  <c r="I81" i="1"/>
  <c r="I84" i="1"/>
  <c r="I87" i="1"/>
  <c r="I90" i="1"/>
  <c r="I110" i="1"/>
  <c r="I113" i="1"/>
  <c r="I111" i="1"/>
  <c r="I68" i="1"/>
  <c r="I71" i="1"/>
  <c r="I74" i="1"/>
  <c r="I94" i="1"/>
  <c r="I100" i="1"/>
  <c r="I103" i="1"/>
  <c r="I82" i="1"/>
  <c r="I115" i="1"/>
  <c r="I116" i="1"/>
  <c r="I112" i="1"/>
  <c r="I107" i="1"/>
  <c r="I102" i="1"/>
  <c r="I97" i="1"/>
  <c r="I93" i="1"/>
  <c r="I92" i="1"/>
  <c r="I89" i="1"/>
  <c r="I88" i="1"/>
  <c r="I86" i="1"/>
  <c r="I83" i="1"/>
  <c r="I80" i="1"/>
  <c r="I78" i="1"/>
  <c r="I73" i="1"/>
  <c r="I70" i="1"/>
  <c r="I69" i="1"/>
  <c r="I65" i="1"/>
  <c r="I64" i="1"/>
  <c r="I63" i="1"/>
  <c r="I62" i="1"/>
  <c r="I5" i="1"/>
  <c r="I9" i="1"/>
  <c r="I15" i="1"/>
  <c r="I18" i="1"/>
  <c r="I21" i="1"/>
  <c r="I24" i="1"/>
  <c r="I27" i="1"/>
  <c r="I30" i="1"/>
  <c r="I11" i="1"/>
  <c r="I37" i="1"/>
  <c r="I40" i="1"/>
  <c r="I43" i="1"/>
  <c r="I20" i="1"/>
  <c r="I35" i="1"/>
  <c r="I44" i="1"/>
  <c r="I59" i="1"/>
  <c r="I45" i="1"/>
  <c r="I17" i="1"/>
  <c r="I26" i="1"/>
  <c r="I32" i="1"/>
  <c r="I41" i="1"/>
  <c r="I47" i="1"/>
  <c r="I23" i="1"/>
  <c r="I29" i="1"/>
  <c r="I38" i="1"/>
  <c r="I53" i="1"/>
  <c r="I56" i="1"/>
  <c r="I7" i="1"/>
  <c r="I13" i="1"/>
  <c r="I25" i="1"/>
  <c r="I42" i="1"/>
  <c r="I51" i="1"/>
  <c r="I8" i="1"/>
  <c r="I34" i="1"/>
  <c r="I60" i="1"/>
  <c r="I10" i="1"/>
  <c r="I22" i="1"/>
  <c r="I28" i="1"/>
  <c r="I36" i="1"/>
  <c r="I57" i="1"/>
  <c r="I49" i="1"/>
  <c r="I52" i="1"/>
  <c r="I55" i="1"/>
  <c r="I33" i="1"/>
  <c r="I19" i="1"/>
  <c r="I31" i="1"/>
  <c r="I39" i="1"/>
  <c r="I48" i="1"/>
  <c r="I54" i="1"/>
  <c r="I61" i="1"/>
  <c r="I50" i="1"/>
  <c r="I46" i="1"/>
  <c r="I16" i="1"/>
  <c r="I14" i="1"/>
  <c r="I12" i="1"/>
  <c r="I6" i="1"/>
  <c r="I4" i="1"/>
  <c r="I3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CC9A03-AB08-43C8-ABA3-FBD0051DAF73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C2742EB6-3979-463B-9F21-FC5433003E3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B145656-C7AF-4E4B-B62A-3E91B7199076}" name="WorksheetConnection_TMD 2026-01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TMD202601.xlsxTable21"/>
        </x15:connection>
      </ext>
    </extLst>
  </connection>
  <connection id="4" xr16:uid="{6FCD8702-1112-42E3-A8E5-A98036C944A0}" name="WorksheetConnection_TMD 2026-01.xlsx!tblPrice" type="102" refreshedVersion="8" minRefreshableVersion="5">
    <extLst>
      <ext xmlns:x15="http://schemas.microsoft.com/office/spreadsheetml/2010/11/main" uri="{DE250136-89BD-433C-8126-D09CA5730AF9}">
        <x15:connection id="tblPrice">
          <x15:rangePr sourceName="_xlcn.WorksheetConnection_TMD202601.xlsxtblPrice1"/>
        </x15:connection>
      </ext>
    </extLst>
  </connection>
</connections>
</file>

<file path=xl/sharedStrings.xml><?xml version="1.0" encoding="utf-8"?>
<sst xmlns="http://schemas.openxmlformats.org/spreadsheetml/2006/main" count="729" uniqueCount="215">
  <si>
    <t>Date</t>
  </si>
  <si>
    <t>Name</t>
  </si>
  <si>
    <t>Age</t>
  </si>
  <si>
    <t>Gender</t>
  </si>
  <si>
    <t>Refer By</t>
  </si>
  <si>
    <t>Test</t>
  </si>
  <si>
    <t>Price</t>
  </si>
  <si>
    <t>CP(A)</t>
  </si>
  <si>
    <t>URE</t>
  </si>
  <si>
    <t>HbA1c</t>
  </si>
  <si>
    <t>U/A</t>
  </si>
  <si>
    <t>Lipid</t>
  </si>
  <si>
    <t>Grand Total</t>
  </si>
  <si>
    <t>ESR</t>
  </si>
  <si>
    <t>G&amp;M</t>
  </si>
  <si>
    <t>E lytes</t>
  </si>
  <si>
    <t>UCG</t>
  </si>
  <si>
    <t>Stool RE</t>
  </si>
  <si>
    <t>Dengue Duo</t>
  </si>
  <si>
    <t>H-Pylori Ag</t>
  </si>
  <si>
    <t>H-Pylori Ab</t>
  </si>
  <si>
    <t>HIV</t>
  </si>
  <si>
    <t>HCV</t>
  </si>
  <si>
    <t>HBV</t>
  </si>
  <si>
    <t>VDRL</t>
  </si>
  <si>
    <t>Widal</t>
  </si>
  <si>
    <t>Gamma GT</t>
  </si>
  <si>
    <t>Inorganic Phosphate</t>
  </si>
  <si>
    <t>TC</t>
  </si>
  <si>
    <t>TG</t>
  </si>
  <si>
    <t>HDL</t>
  </si>
  <si>
    <t>LDL</t>
  </si>
  <si>
    <t>LDH</t>
  </si>
  <si>
    <t>T&amp;DP</t>
  </si>
  <si>
    <t>TP</t>
  </si>
  <si>
    <t>Alb</t>
  </si>
  <si>
    <t>Glb</t>
  </si>
  <si>
    <t>LFT</t>
  </si>
  <si>
    <t>TB</t>
  </si>
  <si>
    <t>ALP</t>
  </si>
  <si>
    <t>GPT</t>
  </si>
  <si>
    <t>Amy</t>
  </si>
  <si>
    <t>FT3</t>
  </si>
  <si>
    <t>FT4</t>
  </si>
  <si>
    <t>TSH</t>
  </si>
  <si>
    <t>CRP (Quali)</t>
  </si>
  <si>
    <t>ASO (Quali)</t>
  </si>
  <si>
    <t>ASO (Quanti)</t>
  </si>
  <si>
    <t>PT/INR</t>
  </si>
  <si>
    <t>Creat</t>
  </si>
  <si>
    <t>HBsAg</t>
  </si>
  <si>
    <t>HAV</t>
  </si>
  <si>
    <t>G&amp;M Rh</t>
  </si>
  <si>
    <t>RA (Quali)</t>
  </si>
  <si>
    <t>Fee %</t>
  </si>
  <si>
    <t>Refer Fee %</t>
  </si>
  <si>
    <t>Ur</t>
  </si>
  <si>
    <t>MP (ICT)</t>
  </si>
  <si>
    <t>MP (Film)</t>
  </si>
  <si>
    <t>RBS</t>
  </si>
  <si>
    <t>CRP</t>
  </si>
  <si>
    <t>Refer Fee Amount</t>
  </si>
  <si>
    <t>Plt Count</t>
  </si>
  <si>
    <t>PCV</t>
  </si>
  <si>
    <t>G6PD</t>
  </si>
  <si>
    <t>D-Dimer</t>
  </si>
  <si>
    <t>Ca</t>
  </si>
  <si>
    <t>TB (ICT)</t>
  </si>
  <si>
    <t>Sputum AFB</t>
  </si>
  <si>
    <t>Semen Analysis</t>
  </si>
  <si>
    <t>Beta HCG</t>
  </si>
  <si>
    <t>AFP</t>
  </si>
  <si>
    <t>FPSA</t>
  </si>
  <si>
    <t>Urine Alb</t>
  </si>
  <si>
    <t>Test Name</t>
  </si>
  <si>
    <t>(All)</t>
  </si>
  <si>
    <t>Refer Names</t>
  </si>
  <si>
    <t>Total Refer Fee Amount</t>
  </si>
  <si>
    <t>Test Count</t>
  </si>
  <si>
    <t>F</t>
  </si>
  <si>
    <t>Trop-T</t>
  </si>
  <si>
    <t>Total=</t>
  </si>
  <si>
    <t>Urine Analysis</t>
  </si>
  <si>
    <t>43 yrs</t>
  </si>
  <si>
    <t>Self</t>
  </si>
  <si>
    <t>Daw Win Naw</t>
  </si>
  <si>
    <t>Ma Su Mon Kyaw</t>
  </si>
  <si>
    <t>30 yrs</t>
  </si>
  <si>
    <t>ဂရုဏာဆေးခန်း</t>
  </si>
  <si>
    <t>36 yrs</t>
  </si>
  <si>
    <t>M</t>
  </si>
  <si>
    <t>MCLH</t>
  </si>
  <si>
    <t>U Boe Win</t>
  </si>
  <si>
    <t>65 yrs</t>
  </si>
  <si>
    <t>Phy</t>
  </si>
  <si>
    <t>E Lytes</t>
  </si>
  <si>
    <t>U Kyaw Hein</t>
  </si>
  <si>
    <t>40 yrs</t>
  </si>
  <si>
    <t>U Maung Maung Aye</t>
  </si>
  <si>
    <t>Ma Paing Thein Kha</t>
  </si>
  <si>
    <t>27 yrs</t>
  </si>
  <si>
    <t>Ko Khant Nyein Aung</t>
  </si>
  <si>
    <t>29 yrs</t>
  </si>
  <si>
    <t>Ma Paing Shal May</t>
  </si>
  <si>
    <t>25 yrs</t>
  </si>
  <si>
    <t>Daw Aye Aye Maw</t>
  </si>
  <si>
    <t>53 yrs</t>
  </si>
  <si>
    <t>Ma Hnin Eain Thu</t>
  </si>
  <si>
    <t>20 yrs</t>
  </si>
  <si>
    <t>OG</t>
  </si>
  <si>
    <t>Daw Yee Win</t>
  </si>
  <si>
    <t>54 yrs</t>
  </si>
  <si>
    <t>Mg Zwe Bhone Pyae Mg</t>
  </si>
  <si>
    <t>10/12 yrs</t>
  </si>
  <si>
    <t>NMMN</t>
  </si>
  <si>
    <t>Ma Hsut Hsai Hsan</t>
  </si>
  <si>
    <t>13 yrs</t>
  </si>
  <si>
    <t>U Thein Win</t>
  </si>
  <si>
    <t>47 yrs</t>
  </si>
  <si>
    <t>Daw Kham</t>
  </si>
  <si>
    <t>46 yrs</t>
  </si>
  <si>
    <t>HbA1C</t>
  </si>
  <si>
    <t>U Myo Latt Aung</t>
  </si>
  <si>
    <t>35 yrs</t>
  </si>
  <si>
    <t>Daw Cho Sann</t>
  </si>
  <si>
    <t>Mg Toe Ni</t>
  </si>
  <si>
    <t>21 yrs</t>
  </si>
  <si>
    <t>U Aung Tin Win</t>
  </si>
  <si>
    <t>48 yrs</t>
  </si>
  <si>
    <t>Ma Aye Mya Saw</t>
  </si>
  <si>
    <t>Ma Saung Hnin Kha</t>
  </si>
  <si>
    <t>17 yrs</t>
  </si>
  <si>
    <t>Mg Thu Rein Min Kha</t>
  </si>
  <si>
    <t>14 yrs</t>
  </si>
  <si>
    <t>U Bran Aung</t>
  </si>
  <si>
    <t>58 yrs</t>
  </si>
  <si>
    <t>Mg Paing Phyo Kyaw</t>
  </si>
  <si>
    <t>5 7/12 yrs</t>
  </si>
  <si>
    <t>Ma Yu TheinGi Min</t>
  </si>
  <si>
    <t>3 3/12 yrs</t>
  </si>
  <si>
    <t>U Zaw Oo</t>
  </si>
  <si>
    <t>42 yrs</t>
  </si>
  <si>
    <t>Pyi Kyaw</t>
  </si>
  <si>
    <t>Ma Yamin Oo</t>
  </si>
  <si>
    <t>22 yrs</t>
  </si>
  <si>
    <t>Phoe Khin</t>
  </si>
  <si>
    <t>Ma Htet Myat Thwal</t>
  </si>
  <si>
    <t>3/12 yrs</t>
  </si>
  <si>
    <t>Grace</t>
  </si>
  <si>
    <t>Ma Hnin Eaint ThaDar</t>
  </si>
  <si>
    <t>Mg Ye Ko Khant</t>
  </si>
  <si>
    <t>1 7/12 yrs</t>
  </si>
  <si>
    <t>Ma Zin Mar Hnin</t>
  </si>
  <si>
    <t>Ma Juu Naw</t>
  </si>
  <si>
    <t>2 2/12 yrs</t>
  </si>
  <si>
    <t>Mg Sut Ring Awng</t>
  </si>
  <si>
    <t>9 yrs</t>
  </si>
  <si>
    <t>Mg Min Myat Soe</t>
  </si>
  <si>
    <t>6 10/12 yrs</t>
  </si>
  <si>
    <t>Daw Hla Yin</t>
  </si>
  <si>
    <t>U Bo Thaung</t>
  </si>
  <si>
    <t>56 yrs</t>
  </si>
  <si>
    <t>U Moe Nyunt</t>
  </si>
  <si>
    <t>50 yrs</t>
  </si>
  <si>
    <t>ANM</t>
  </si>
  <si>
    <t>Mg Sut Sue Aung</t>
  </si>
  <si>
    <t>1 5/12 yrs</t>
  </si>
  <si>
    <t>Mg Nay Thu Rein</t>
  </si>
  <si>
    <t>3 5/12 yrs</t>
  </si>
  <si>
    <t>Ma Nyo Nyo Khaing</t>
  </si>
  <si>
    <t>37 yrs</t>
  </si>
  <si>
    <t>Mg Nay Linn Htet</t>
  </si>
  <si>
    <t>6 yrs</t>
  </si>
  <si>
    <t>Ma Jar Brang</t>
  </si>
  <si>
    <t>33 yrs</t>
  </si>
  <si>
    <t>Ko Aung Latt</t>
  </si>
  <si>
    <t>28 yrs</t>
  </si>
  <si>
    <t>Ma Wah Wah</t>
  </si>
  <si>
    <t>32 yrs</t>
  </si>
  <si>
    <t>U Win Hlaing</t>
  </si>
  <si>
    <t>Ma Thwal Thwal Win</t>
  </si>
  <si>
    <t>Mg Linn Thuta Naing</t>
  </si>
  <si>
    <t>6/12 yrs</t>
  </si>
  <si>
    <t>Mg Kaung Thant Zaw</t>
  </si>
  <si>
    <t>1 4/12 yrs</t>
  </si>
  <si>
    <t>Ko Aung</t>
  </si>
  <si>
    <t>U Tuu Aung</t>
  </si>
  <si>
    <t>60 yrs</t>
  </si>
  <si>
    <t>Ma Yoon TheinGi Tun</t>
  </si>
  <si>
    <t>Ma Seng Mei</t>
  </si>
  <si>
    <t>19 yrs</t>
  </si>
  <si>
    <t>U Tuu Zaw</t>
  </si>
  <si>
    <t>44 yrs</t>
  </si>
  <si>
    <t>Ma Aye Kyu</t>
  </si>
  <si>
    <t>Mg Sutb Rein Aung</t>
  </si>
  <si>
    <t>Ma Htoi Nuu Khin</t>
  </si>
  <si>
    <t>2 yrs</t>
  </si>
  <si>
    <t>Mg Zwe Thurein Tun</t>
  </si>
  <si>
    <t>1 6/12 yrs</t>
  </si>
  <si>
    <t>U Kyaw Sann</t>
  </si>
  <si>
    <t>Daw Khaun Sann</t>
  </si>
  <si>
    <t>Ma Thae Thae Oo</t>
  </si>
  <si>
    <t>AMH</t>
  </si>
  <si>
    <t>Syphilis RDT</t>
  </si>
  <si>
    <t>Ma Yoon Nadi Tun</t>
  </si>
  <si>
    <t>Daw ThaZin Htwe</t>
  </si>
  <si>
    <t>26 yrs</t>
  </si>
  <si>
    <t>U Kyaw Than</t>
  </si>
  <si>
    <t>U Sai Lone</t>
  </si>
  <si>
    <t>52 yrs</t>
  </si>
  <si>
    <t>U Kyaw Khaing</t>
  </si>
  <si>
    <t>Ma Thwal Thwal Oo</t>
  </si>
  <si>
    <t>BBH</t>
  </si>
  <si>
    <t>U Ma Ram Gum</t>
  </si>
  <si>
    <t>67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</si>
</sst>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1">
    <xf numFmtId="0" fontId="0" fillId="0" borderId="0" xfId="0"/>
    <xf numFmtId="3" fontId="0" fillId="0" borderId="0" xfId="0" applyNumberFormat="1"/>
    <xf numFmtId="49" fontId="0" fillId="0" borderId="0" xfId="0" applyNumberFormat="1"/>
    <xf numFmtId="9" fontId="0" fillId="0" borderId="0" xfId="0" applyNumberFormat="1"/>
    <xf numFmtId="0" fontId="0" fillId="0" borderId="1" xfId="0" applyBorder="1" applyAlignment="1">
      <alignment horizontal="left"/>
    </xf>
    <xf numFmtId="0" fontId="0" fillId="0" borderId="4" xfId="0" pivotButton="1" applyBorder="1"/>
    <xf numFmtId="0" fontId="0" fillId="0" borderId="3" xfId="0" applyBorder="1"/>
    <xf numFmtId="0" fontId="1" fillId="0" borderId="1" xfId="0" pivotButton="1" applyFont="1" applyBorder="1"/>
    <xf numFmtId="0" fontId="1" fillId="0" borderId="1" xfId="0" applyFont="1" applyBorder="1"/>
    <xf numFmtId="49" fontId="1" fillId="3" borderId="7" xfId="0" applyNumberFormat="1" applyFont="1" applyFill="1" applyBorder="1" applyAlignment="1">
      <alignment horizontal="center" vertical="center"/>
    </xf>
    <xf numFmtId="3" fontId="0" fillId="0" borderId="5" xfId="0" applyNumberFormat="1" applyBorder="1"/>
    <xf numFmtId="3" fontId="0" fillId="0" borderId="2" xfId="0" applyNumberFormat="1" applyBorder="1"/>
    <xf numFmtId="3" fontId="1" fillId="0" borderId="9" xfId="0" applyNumberFormat="1" applyFont="1" applyBorder="1"/>
    <xf numFmtId="3" fontId="0" fillId="0" borderId="6" xfId="0" applyNumberFormat="1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left"/>
    </xf>
    <xf numFmtId="14" fontId="0" fillId="0" borderId="0" xfId="0" applyNumberFormat="1"/>
    <xf numFmtId="49" fontId="1" fillId="4" borderId="9" xfId="0" applyNumberFormat="1" applyFont="1" applyFill="1" applyBorder="1"/>
    <xf numFmtId="3" fontId="1" fillId="4" borderId="9" xfId="0" applyNumberFormat="1" applyFont="1" applyFill="1" applyBorder="1"/>
    <xf numFmtId="9" fontId="1" fillId="4" borderId="9" xfId="0" applyNumberFormat="1" applyFont="1" applyFill="1" applyBorder="1"/>
    <xf numFmtId="49" fontId="1" fillId="0" borderId="9" xfId="0" applyNumberFormat="1" applyFont="1" applyBorder="1"/>
    <xf numFmtId="9" fontId="1" fillId="0" borderId="9" xfId="0" applyNumberFormat="1" applyFont="1" applyBorder="1"/>
    <xf numFmtId="14" fontId="1" fillId="4" borderId="10" xfId="0" applyNumberFormat="1" applyFont="1" applyFill="1" applyBorder="1"/>
    <xf numFmtId="14" fontId="1" fillId="0" borderId="10" xfId="0" applyNumberFormat="1" applyFont="1" applyBorder="1"/>
    <xf numFmtId="14" fontId="3" fillId="2" borderId="0" xfId="0" applyNumberFormat="1" applyFont="1" applyFill="1"/>
    <xf numFmtId="49" fontId="3" fillId="2" borderId="11" xfId="0" applyNumberFormat="1" applyFont="1" applyFill="1" applyBorder="1"/>
    <xf numFmtId="3" fontId="3" fillId="2" borderId="11" xfId="0" applyNumberFormat="1" applyFont="1" applyFill="1" applyBorder="1"/>
    <xf numFmtId="9" fontId="3" fillId="2" borderId="11" xfId="0" applyNumberFormat="1" applyFont="1" applyFill="1" applyBorder="1"/>
    <xf numFmtId="3" fontId="0" fillId="3" borderId="8" xfId="1" applyNumberFormat="1" applyFont="1" applyFill="1" applyBorder="1" applyAlignment="1">
      <alignment horizontal="center" vertical="center"/>
    </xf>
    <xf numFmtId="0" fontId="0" fillId="0" borderId="1" xfId="0" applyBorder="1"/>
  </cellXfs>
  <cellStyles count="2">
    <cellStyle name="Comma" xfId="1" builtinId="3"/>
    <cellStyle name="Normal" xfId="0" builtinId="0"/>
  </cellStyles>
  <dxfs count="38">
    <dxf>
      <numFmt numFmtId="13" formatCode="0%"/>
    </dxf>
    <dxf>
      <numFmt numFmtId="3" formatCode="#,##0"/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" formatCode="#,##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3" formatCode="0%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yyyy/mm/dd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theme="8" tint="0.39997558519241921"/>
        </left>
        <right style="thin">
          <color indexed="64"/>
        </right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mers" refreshedDate="46112.514877777779" createdVersion="8" refreshedVersion="8" minRefreshableVersion="3" recordCount="195" xr:uid="{278E013D-1B38-4C02-80D6-610CDE781871}">
  <cacheSource type="worksheet">
    <worksheetSource ref="A1:I196" sheet="Daily_table"/>
  </cacheSource>
  <cacheFields count="9">
    <cacheField name="Date" numFmtId="14">
      <sharedItems containsNonDate="0" containsDate="1" containsString="0" containsBlank="1" minDate="2026-03-01T00:00:00" maxDate="2026-04-01T00:00:00"/>
    </cacheField>
    <cacheField name="Name" numFmtId="49">
      <sharedItems containsBlank="1"/>
    </cacheField>
    <cacheField name="Age" numFmtId="49">
      <sharedItems containsBlank="1"/>
    </cacheField>
    <cacheField name="Gender" numFmtId="49">
      <sharedItems containsBlank="1"/>
    </cacheField>
    <cacheField name="Refer By" numFmtId="49">
      <sharedItems containsBlank="1" count="19">
        <s v="Self"/>
        <s v="ဂရုဏာဆေးခန်း"/>
        <s v="MCLH"/>
        <s v="Phy"/>
        <s v="OG"/>
        <s v="NMMN"/>
        <s v="Pyi Kyaw"/>
        <s v="Phoe Khin"/>
        <s v="Grace"/>
        <s v="ANM"/>
        <s v="AMH"/>
        <s v="BBH"/>
        <m u="1"/>
        <s v="TLH" u="1"/>
        <s v="မေတ္တာဆေးခန်း" u="1"/>
        <s v="Surg" u="1"/>
        <s v="TK" u="1"/>
        <s v="MC" u="1"/>
        <s v="မိသားစုဆေးခန်း" u="1"/>
      </sharedItems>
    </cacheField>
    <cacheField name="Test" numFmtId="49">
      <sharedItems count="43">
        <s v="CP(A)"/>
        <s v="U/A"/>
        <s v="Urine Analysis"/>
        <s v="Creat"/>
        <s v="E Lytes"/>
        <s v="Lipid"/>
        <s v="Trop-T"/>
        <s v="LFT"/>
        <s v="G&amp;M"/>
        <s v="G&amp;M Rh"/>
        <s v="URE"/>
        <s v="CRP"/>
        <s v="HbA1C"/>
        <s v="ASO (Quanti)"/>
        <s v="MP (ICT)"/>
        <s v="Dengue Duo"/>
        <s v="VDRL"/>
        <s v="HBsAg"/>
        <s v="HCV"/>
        <s v="HIV"/>
        <s v="Ur"/>
        <s v="T&amp;DP"/>
        <s v="MP (Film)"/>
        <s v="H-Pylori Ab"/>
        <s v="TSH"/>
        <s v="FT3"/>
        <s v="FT4"/>
        <s v="ESR"/>
        <s v="Widal"/>
        <s v="AFP"/>
        <s v="PT/INR"/>
        <s v="Syphilis RDT"/>
        <s v="HBV"/>
        <s v="Stool RE" u="1"/>
        <s v="ASO (Quali)" u="1"/>
        <s v="RA (Quali)" u="1"/>
        <s v="H-Pylori Ag" u="1"/>
        <s v="TFT" u="1"/>
        <s v="HAV" u="1"/>
        <s v="TB" u="1"/>
        <s v="G6PD" u="1"/>
        <s v="Sputum AFB" u="1"/>
        <s v="Urine Alb" u="1"/>
      </sharedItems>
    </cacheField>
    <cacheField name="Price" numFmtId="3">
      <sharedItems containsSemiMixedTypes="0" containsString="0" containsNumber="1" containsInteger="1" minValue="7000" maxValue="40000"/>
    </cacheField>
    <cacheField name="Refer Fee %" numFmtId="9">
      <sharedItems containsSemiMixedTypes="0" containsString="0" containsNumber="1" minValue="0" maxValue="0.15"/>
    </cacheField>
    <cacheField name="Refer Fee Amount" numFmtId="3">
      <sharedItems containsSemiMixedTypes="0" containsString="0" containsNumber="1" containsInteger="1" minValue="0" maxValue="5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d v="2026-03-01T00:00:00"/>
    <s v="Daw Win Naw"/>
    <s v="43 yrs"/>
    <s v="F"/>
    <x v="0"/>
    <x v="0"/>
    <n v="30000"/>
    <n v="0.15"/>
    <n v="4500"/>
  </r>
  <r>
    <d v="2026-03-02T00:00:00"/>
    <s v="Ma Su Mon Kyaw"/>
    <s v="30 yrs"/>
    <s v="F"/>
    <x v="1"/>
    <x v="1"/>
    <n v="10000"/>
    <n v="0.15"/>
    <n v="1500"/>
  </r>
  <r>
    <d v="2026-03-02T00:00:00"/>
    <s v="U Maung Maung Aye"/>
    <s v="36 yrs"/>
    <s v="M"/>
    <x v="2"/>
    <x v="2"/>
    <n v="12000"/>
    <n v="0.05"/>
    <n v="600"/>
  </r>
  <r>
    <d v="2026-03-02T00:00:00"/>
    <m/>
    <m/>
    <m/>
    <x v="2"/>
    <x v="3"/>
    <n v="10000"/>
    <n v="0.15"/>
    <n v="1500"/>
  </r>
  <r>
    <d v="2026-03-02T00:00:00"/>
    <s v="U Boe Win"/>
    <s v="65 yrs"/>
    <s v="M"/>
    <x v="3"/>
    <x v="0"/>
    <n v="30000"/>
    <n v="0.15"/>
    <n v="4500"/>
  </r>
  <r>
    <d v="2026-03-02T00:00:00"/>
    <m/>
    <m/>
    <m/>
    <x v="3"/>
    <x v="4"/>
    <n v="30000"/>
    <n v="0.15"/>
    <n v="4500"/>
  </r>
  <r>
    <d v="2026-03-02T00:00:00"/>
    <m/>
    <m/>
    <m/>
    <x v="3"/>
    <x v="3"/>
    <n v="10000"/>
    <n v="0.15"/>
    <n v="1500"/>
  </r>
  <r>
    <d v="2026-03-02T00:00:00"/>
    <m/>
    <m/>
    <m/>
    <x v="3"/>
    <x v="5"/>
    <n v="36000"/>
    <n v="0.15"/>
    <n v="5400"/>
  </r>
  <r>
    <d v="2026-03-02T00:00:00"/>
    <m/>
    <m/>
    <m/>
    <x v="3"/>
    <x v="6"/>
    <n v="40000"/>
    <n v="0"/>
    <n v="0"/>
  </r>
  <r>
    <d v="2026-03-02T00:00:00"/>
    <m/>
    <m/>
    <m/>
    <x v="3"/>
    <x v="7"/>
    <n v="36000"/>
    <n v="0.15"/>
    <n v="5400"/>
  </r>
  <r>
    <d v="2026-03-02T00:00:00"/>
    <s v="U Kyaw Hein"/>
    <s v="40 yrs"/>
    <s v="M"/>
    <x v="3"/>
    <x v="7"/>
    <n v="36000"/>
    <n v="0.15"/>
    <n v="5400"/>
  </r>
  <r>
    <d v="2026-03-03T00:00:00"/>
    <s v="Ma Paing Thein Kha"/>
    <s v="27 yrs"/>
    <s v="F"/>
    <x v="0"/>
    <x v="8"/>
    <n v="7000"/>
    <n v="0.15"/>
    <n v="1050"/>
  </r>
  <r>
    <d v="2026-03-03T00:00:00"/>
    <s v="Ko Khant Nyein Aung"/>
    <s v="29 yrs"/>
    <s v="M"/>
    <x v="0"/>
    <x v="8"/>
    <n v="7000"/>
    <n v="0.15"/>
    <n v="1050"/>
  </r>
  <r>
    <d v="2026-03-03T00:00:00"/>
    <s v="Ma Paing Shal May"/>
    <s v="25 yrs"/>
    <s v="F"/>
    <x v="0"/>
    <x v="9"/>
    <n v="10000"/>
    <n v="0.15"/>
    <n v="1500"/>
  </r>
  <r>
    <d v="2026-03-03T00:00:00"/>
    <s v="Daw Aye Aye Maw"/>
    <s v="53 yrs"/>
    <s v="F"/>
    <x v="0"/>
    <x v="9"/>
    <n v="10000"/>
    <n v="0.15"/>
    <n v="1500"/>
  </r>
  <r>
    <d v="2026-03-03T00:00:00"/>
    <s v="Ma Hnin Eain Thu"/>
    <s v="20 yrs"/>
    <s v="F"/>
    <x v="4"/>
    <x v="10"/>
    <n v="12000"/>
    <n v="0.05"/>
    <n v="600"/>
  </r>
  <r>
    <d v="2026-03-04T00:00:00"/>
    <s v="Daw Yee Win"/>
    <s v="54 yrs"/>
    <s v="F"/>
    <x v="3"/>
    <x v="4"/>
    <n v="30000"/>
    <n v="0.15"/>
    <n v="4500"/>
  </r>
  <r>
    <d v="2026-03-04T00:00:00"/>
    <m/>
    <m/>
    <m/>
    <x v="3"/>
    <x v="5"/>
    <n v="36000"/>
    <n v="0.15"/>
    <n v="5400"/>
  </r>
  <r>
    <d v="2026-03-04T00:00:00"/>
    <s v="Mg Zwe Bhone Pyae Mg"/>
    <s v="10/12 yrs"/>
    <s v="M"/>
    <x v="5"/>
    <x v="0"/>
    <n v="30000"/>
    <n v="0.15"/>
    <n v="4500"/>
  </r>
  <r>
    <d v="2026-03-04T00:00:00"/>
    <m/>
    <m/>
    <m/>
    <x v="5"/>
    <x v="11"/>
    <n v="25000"/>
    <n v="0.05"/>
    <n v="1250"/>
  </r>
  <r>
    <d v="2026-03-05T00:00:00"/>
    <s v="Ma Hsut Hsai Hsan"/>
    <s v="13 yrs"/>
    <s v="F"/>
    <x v="0"/>
    <x v="8"/>
    <n v="7000"/>
    <n v="0.15"/>
    <n v="1050"/>
  </r>
  <r>
    <d v="2026-03-06T00:00:00"/>
    <s v="U Thein Win"/>
    <s v="47 yrs"/>
    <s v="M"/>
    <x v="3"/>
    <x v="5"/>
    <n v="36000"/>
    <n v="0.15"/>
    <n v="5400"/>
  </r>
  <r>
    <d v="2026-03-07T00:00:00"/>
    <s v="Daw Kham"/>
    <s v="46 yrs"/>
    <s v="F"/>
    <x v="2"/>
    <x v="2"/>
    <n v="12000"/>
    <n v="0.05"/>
    <n v="600"/>
  </r>
  <r>
    <d v="2026-03-07T00:00:00"/>
    <m/>
    <m/>
    <m/>
    <x v="2"/>
    <x v="12"/>
    <n v="25000"/>
    <n v="0.05"/>
    <n v="1250"/>
  </r>
  <r>
    <d v="2026-03-07T00:00:00"/>
    <m/>
    <m/>
    <m/>
    <x v="2"/>
    <x v="3"/>
    <n v="10000"/>
    <n v="0.15"/>
    <n v="1500"/>
  </r>
  <r>
    <d v="2026-03-07T00:00:00"/>
    <m/>
    <m/>
    <m/>
    <x v="2"/>
    <x v="7"/>
    <n v="36000"/>
    <n v="0.15"/>
    <n v="5400"/>
  </r>
  <r>
    <d v="2026-03-07T00:00:00"/>
    <m/>
    <m/>
    <m/>
    <x v="2"/>
    <x v="5"/>
    <n v="36000"/>
    <n v="0.15"/>
    <n v="5400"/>
  </r>
  <r>
    <d v="2026-03-08T00:00:00"/>
    <s v="U Myo Latt Aung"/>
    <s v="35 yrs"/>
    <s v="M"/>
    <x v="3"/>
    <x v="0"/>
    <n v="30000"/>
    <n v="0.15"/>
    <n v="4500"/>
  </r>
  <r>
    <d v="2026-03-08T00:00:00"/>
    <m/>
    <m/>
    <m/>
    <x v="3"/>
    <x v="13"/>
    <n v="30000"/>
    <n v="0.05"/>
    <n v="1500"/>
  </r>
  <r>
    <d v="2026-03-08T00:00:00"/>
    <m/>
    <m/>
    <m/>
    <x v="3"/>
    <x v="14"/>
    <n v="10000"/>
    <n v="0.05"/>
    <n v="500"/>
  </r>
  <r>
    <d v="2026-03-08T00:00:00"/>
    <m/>
    <m/>
    <m/>
    <x v="3"/>
    <x v="15"/>
    <n v="25000"/>
    <n v="0.05"/>
    <n v="1250"/>
  </r>
  <r>
    <d v="2026-03-08T00:00:00"/>
    <s v="Daw Cho Sann"/>
    <s v="53 yrs"/>
    <s v="F"/>
    <x v="3"/>
    <x v="0"/>
    <n v="30000"/>
    <n v="0.15"/>
    <n v="4500"/>
  </r>
  <r>
    <d v="2026-03-08T00:00:00"/>
    <m/>
    <m/>
    <m/>
    <x v="3"/>
    <x v="10"/>
    <n v="12000"/>
    <n v="0.05"/>
    <n v="600"/>
  </r>
  <r>
    <d v="2026-03-08T00:00:00"/>
    <m/>
    <m/>
    <m/>
    <x v="3"/>
    <x v="12"/>
    <n v="25000"/>
    <n v="0.05"/>
    <n v="1250"/>
  </r>
  <r>
    <d v="2026-03-08T00:00:00"/>
    <m/>
    <m/>
    <m/>
    <x v="3"/>
    <x v="4"/>
    <n v="30000"/>
    <n v="0.15"/>
    <n v="4500"/>
  </r>
  <r>
    <d v="2026-03-08T00:00:00"/>
    <m/>
    <m/>
    <m/>
    <x v="3"/>
    <x v="3"/>
    <n v="10000"/>
    <n v="0.15"/>
    <n v="1500"/>
  </r>
  <r>
    <d v="2026-03-08T00:00:00"/>
    <m/>
    <m/>
    <m/>
    <x v="3"/>
    <x v="5"/>
    <n v="36000"/>
    <n v="0.15"/>
    <n v="5400"/>
  </r>
  <r>
    <d v="2026-03-08T00:00:00"/>
    <s v="Mg Toe Ni"/>
    <s v="21 yrs"/>
    <s v="M"/>
    <x v="1"/>
    <x v="16"/>
    <n v="7000"/>
    <n v="0.05"/>
    <n v="350"/>
  </r>
  <r>
    <d v="2026-03-08T00:00:00"/>
    <s v="U Aung Tin Win"/>
    <s v="48 yrs"/>
    <s v="M"/>
    <x v="2"/>
    <x v="2"/>
    <n v="12000"/>
    <n v="0.05"/>
    <n v="600"/>
  </r>
  <r>
    <d v="2026-03-08T00:00:00"/>
    <m/>
    <m/>
    <m/>
    <x v="2"/>
    <x v="3"/>
    <n v="10000"/>
    <n v="0.15"/>
    <n v="1500"/>
  </r>
  <r>
    <d v="2026-03-09T00:00:00"/>
    <s v="Ma Aye Mya Saw"/>
    <s v="25 yrs"/>
    <s v="F"/>
    <x v="0"/>
    <x v="17"/>
    <n v="7000"/>
    <n v="0.05"/>
    <n v="350"/>
  </r>
  <r>
    <d v="2026-03-09T00:00:00"/>
    <m/>
    <m/>
    <m/>
    <x v="0"/>
    <x v="18"/>
    <n v="7000"/>
    <n v="0.05"/>
    <n v="350"/>
  </r>
  <r>
    <d v="2026-03-09T00:00:00"/>
    <m/>
    <m/>
    <m/>
    <x v="0"/>
    <x v="19"/>
    <n v="10000"/>
    <n v="0.05"/>
    <n v="500"/>
  </r>
  <r>
    <d v="2026-03-09T00:00:00"/>
    <m/>
    <m/>
    <m/>
    <x v="0"/>
    <x v="16"/>
    <n v="7000"/>
    <n v="0.05"/>
    <n v="350"/>
  </r>
  <r>
    <d v="2026-03-10T00:00:00"/>
    <s v="Ma Saung Hnin Kha"/>
    <s v="17 yrs"/>
    <s v="F"/>
    <x v="0"/>
    <x v="8"/>
    <n v="7000"/>
    <n v="0.15"/>
    <n v="1050"/>
  </r>
  <r>
    <d v="2026-03-10T00:00:00"/>
    <s v="Mg Thu Rein Min Kha"/>
    <s v="14 yrs"/>
    <s v="M"/>
    <x v="0"/>
    <x v="8"/>
    <n v="7000"/>
    <n v="0.15"/>
    <n v="1050"/>
  </r>
  <r>
    <d v="2026-03-10T00:00:00"/>
    <s v="U Bran Aung"/>
    <s v="58 yrs"/>
    <s v="M"/>
    <x v="2"/>
    <x v="12"/>
    <n v="25000"/>
    <n v="0.05"/>
    <n v="1250"/>
  </r>
  <r>
    <d v="2026-03-10T00:00:00"/>
    <s v="Mg Paing Phyo Kyaw"/>
    <s v="5 7/12 yrs"/>
    <s v="M"/>
    <x v="5"/>
    <x v="0"/>
    <n v="30000"/>
    <n v="0.15"/>
    <n v="4500"/>
  </r>
  <r>
    <d v="2026-03-10T00:00:00"/>
    <s v="Ma Yu TheinGi Min"/>
    <s v="3 3/12 yrs"/>
    <s v="F"/>
    <x v="5"/>
    <x v="0"/>
    <n v="30000"/>
    <n v="0.15"/>
    <n v="4500"/>
  </r>
  <r>
    <d v="2026-03-10T00:00:00"/>
    <m/>
    <m/>
    <m/>
    <x v="5"/>
    <x v="14"/>
    <n v="10000"/>
    <n v="0.05"/>
    <n v="500"/>
  </r>
  <r>
    <d v="2026-03-10T00:00:00"/>
    <m/>
    <m/>
    <m/>
    <x v="5"/>
    <x v="15"/>
    <n v="25000"/>
    <n v="0.05"/>
    <n v="1250"/>
  </r>
  <r>
    <d v="2026-03-10T00:00:00"/>
    <m/>
    <m/>
    <m/>
    <x v="5"/>
    <x v="11"/>
    <n v="25000"/>
    <n v="0.05"/>
    <n v="1250"/>
  </r>
  <r>
    <d v="2026-03-10T00:00:00"/>
    <m/>
    <m/>
    <m/>
    <x v="5"/>
    <x v="4"/>
    <n v="30000"/>
    <n v="0.15"/>
    <n v="4500"/>
  </r>
  <r>
    <d v="2026-03-10T00:00:00"/>
    <s v="U Zaw Oo"/>
    <s v="42 yrs"/>
    <s v="M"/>
    <x v="6"/>
    <x v="5"/>
    <n v="36000"/>
    <n v="0.15"/>
    <n v="5400"/>
  </r>
  <r>
    <d v="2026-03-10T00:00:00"/>
    <m/>
    <m/>
    <m/>
    <x v="6"/>
    <x v="7"/>
    <n v="36000"/>
    <n v="0.15"/>
    <n v="5400"/>
  </r>
  <r>
    <d v="2026-03-10T00:00:00"/>
    <m/>
    <m/>
    <m/>
    <x v="6"/>
    <x v="17"/>
    <n v="7000"/>
    <n v="0.05"/>
    <n v="350"/>
  </r>
  <r>
    <d v="2026-03-10T00:00:00"/>
    <m/>
    <m/>
    <m/>
    <x v="6"/>
    <x v="18"/>
    <n v="7000"/>
    <n v="0.05"/>
    <n v="350"/>
  </r>
  <r>
    <d v="2026-03-10T00:00:00"/>
    <m/>
    <m/>
    <m/>
    <x v="6"/>
    <x v="19"/>
    <n v="10000"/>
    <n v="0.05"/>
    <n v="500"/>
  </r>
  <r>
    <d v="2026-03-10T00:00:00"/>
    <s v="Ma Yamin Oo"/>
    <s v="22 yrs"/>
    <s v="F"/>
    <x v="7"/>
    <x v="0"/>
    <n v="30000"/>
    <n v="0.15"/>
    <n v="4500"/>
  </r>
  <r>
    <d v="2026-03-10T00:00:00"/>
    <s v="Ma Htet Myat Thwal"/>
    <s v="3/12 yrs"/>
    <s v="F"/>
    <x v="8"/>
    <x v="0"/>
    <n v="30000"/>
    <n v="0.15"/>
    <n v="4500"/>
  </r>
  <r>
    <d v="2026-03-11T00:00:00"/>
    <s v="Daw Yee Win"/>
    <s v="54 yrs"/>
    <s v="F"/>
    <x v="3"/>
    <x v="4"/>
    <n v="30000"/>
    <n v="0.15"/>
    <n v="4500"/>
  </r>
  <r>
    <d v="2026-03-11T00:00:00"/>
    <s v="Ma Hnin Eaint ThaDar"/>
    <s v="17 yrs"/>
    <s v="F"/>
    <x v="2"/>
    <x v="2"/>
    <n v="12000"/>
    <n v="0.05"/>
    <n v="600"/>
  </r>
  <r>
    <d v="2026-03-11T00:00:00"/>
    <s v="Mg Ye Ko Khant"/>
    <s v="1 7/12 yrs"/>
    <s v="M"/>
    <x v="5"/>
    <x v="0"/>
    <n v="30000"/>
    <n v="0.15"/>
    <n v="4500"/>
  </r>
  <r>
    <d v="2026-03-11T00:00:00"/>
    <m/>
    <m/>
    <m/>
    <x v="5"/>
    <x v="20"/>
    <n v="10000"/>
    <n v="0.15"/>
    <n v="1500"/>
  </r>
  <r>
    <d v="2026-03-11T00:00:00"/>
    <m/>
    <m/>
    <m/>
    <x v="5"/>
    <x v="3"/>
    <n v="10000"/>
    <n v="0.15"/>
    <n v="1500"/>
  </r>
  <r>
    <d v="2026-03-11T00:00:00"/>
    <m/>
    <m/>
    <m/>
    <x v="5"/>
    <x v="15"/>
    <n v="25000"/>
    <n v="0.05"/>
    <n v="1250"/>
  </r>
  <r>
    <d v="2026-03-11T00:00:00"/>
    <m/>
    <m/>
    <m/>
    <x v="5"/>
    <x v="4"/>
    <n v="30000"/>
    <n v="0.15"/>
    <n v="4500"/>
  </r>
  <r>
    <d v="2026-03-11T00:00:00"/>
    <s v="Ma Zin Mar Hnin"/>
    <s v="42 yrs"/>
    <s v="F"/>
    <x v="2"/>
    <x v="0"/>
    <n v="30000"/>
    <n v="0.15"/>
    <n v="4500"/>
  </r>
  <r>
    <d v="2026-03-11T00:00:00"/>
    <m/>
    <m/>
    <m/>
    <x v="3"/>
    <x v="3"/>
    <n v="10000"/>
    <n v="0.15"/>
    <n v="1500"/>
  </r>
  <r>
    <d v="2026-03-11T00:00:00"/>
    <m/>
    <m/>
    <m/>
    <x v="3"/>
    <x v="4"/>
    <n v="30000"/>
    <n v="0.15"/>
    <n v="4500"/>
  </r>
  <r>
    <d v="2026-03-12T00:00:00"/>
    <s v="Ma Juu Naw"/>
    <s v="2 2/12 yrs"/>
    <s v="F"/>
    <x v="5"/>
    <x v="4"/>
    <n v="30000"/>
    <n v="0.15"/>
    <n v="4500"/>
  </r>
  <r>
    <d v="2026-03-12T00:00:00"/>
    <s v="Mg Sut Ring Awng"/>
    <s v="9 yrs"/>
    <s v="M"/>
    <x v="5"/>
    <x v="0"/>
    <n v="30000"/>
    <n v="0.15"/>
    <n v="4500"/>
  </r>
  <r>
    <d v="2026-03-12T00:00:00"/>
    <m/>
    <m/>
    <m/>
    <x v="5"/>
    <x v="20"/>
    <n v="10000"/>
    <n v="0.15"/>
    <n v="1500"/>
  </r>
  <r>
    <d v="2026-03-12T00:00:00"/>
    <m/>
    <m/>
    <m/>
    <x v="5"/>
    <x v="3"/>
    <n v="10000"/>
    <n v="0.15"/>
    <n v="1500"/>
  </r>
  <r>
    <d v="2026-03-12T00:00:00"/>
    <m/>
    <m/>
    <m/>
    <x v="5"/>
    <x v="4"/>
    <n v="30000"/>
    <n v="0.15"/>
    <n v="4500"/>
  </r>
  <r>
    <d v="2026-03-12T00:00:00"/>
    <m/>
    <m/>
    <m/>
    <x v="5"/>
    <x v="21"/>
    <n v="25000"/>
    <n v="0.15"/>
    <n v="3750"/>
  </r>
  <r>
    <d v="2026-03-12T00:00:00"/>
    <s v="Mg Min Myat Soe"/>
    <s v="6 10/12 yrs"/>
    <s v="M"/>
    <x v="5"/>
    <x v="0"/>
    <n v="30000"/>
    <n v="0.15"/>
    <n v="4500"/>
  </r>
  <r>
    <d v="2026-03-12T00:00:00"/>
    <m/>
    <m/>
    <m/>
    <x v="5"/>
    <x v="10"/>
    <n v="12000"/>
    <n v="0.05"/>
    <n v="600"/>
  </r>
  <r>
    <d v="2026-03-12T00:00:00"/>
    <m/>
    <m/>
    <m/>
    <x v="5"/>
    <x v="14"/>
    <n v="10000"/>
    <n v="0.05"/>
    <n v="500"/>
  </r>
  <r>
    <d v="2026-03-12T00:00:00"/>
    <m/>
    <m/>
    <m/>
    <x v="5"/>
    <x v="15"/>
    <n v="25000"/>
    <n v="0.05"/>
    <n v="1250"/>
  </r>
  <r>
    <d v="2026-03-13T00:00:00"/>
    <s v="Daw Hla Yin"/>
    <s v="54 yrs"/>
    <s v="F"/>
    <x v="3"/>
    <x v="7"/>
    <n v="36000"/>
    <n v="0.15"/>
    <n v="5400"/>
  </r>
  <r>
    <d v="2026-03-14T00:00:00"/>
    <s v="U Bo Thaung"/>
    <s v="56 yrs"/>
    <s v="M"/>
    <x v="3"/>
    <x v="12"/>
    <n v="25000"/>
    <n v="0.05"/>
    <n v="1250"/>
  </r>
  <r>
    <d v="2026-03-14T00:00:00"/>
    <m/>
    <m/>
    <m/>
    <x v="3"/>
    <x v="3"/>
    <n v="10000"/>
    <n v="0.15"/>
    <n v="1500"/>
  </r>
  <r>
    <d v="2026-03-14T00:00:00"/>
    <s v="U Moe Nyunt"/>
    <s v="50 yrs"/>
    <s v="M"/>
    <x v="9"/>
    <x v="12"/>
    <n v="25000"/>
    <n v="0.05"/>
    <n v="1250"/>
  </r>
  <r>
    <d v="2026-03-14T00:00:00"/>
    <m/>
    <m/>
    <m/>
    <x v="9"/>
    <x v="3"/>
    <n v="10000"/>
    <n v="0.15"/>
    <n v="1500"/>
  </r>
  <r>
    <d v="2026-03-14T00:00:00"/>
    <m/>
    <m/>
    <m/>
    <x v="9"/>
    <x v="5"/>
    <n v="36000"/>
    <n v="0.15"/>
    <n v="5400"/>
  </r>
  <r>
    <d v="2026-03-15T00:00:00"/>
    <s v="Mg Sut Sue Aung"/>
    <s v="3 5/12 yrs"/>
    <s v="M"/>
    <x v="5"/>
    <x v="0"/>
    <n v="30000"/>
    <n v="0.15"/>
    <n v="4500"/>
  </r>
  <r>
    <d v="2026-03-15T00:00:00"/>
    <m/>
    <m/>
    <m/>
    <x v="5"/>
    <x v="11"/>
    <n v="25000"/>
    <n v="0.05"/>
    <n v="1250"/>
  </r>
  <r>
    <d v="2026-03-15T00:00:00"/>
    <m/>
    <m/>
    <m/>
    <x v="5"/>
    <x v="14"/>
    <n v="10000"/>
    <n v="0.05"/>
    <n v="500"/>
  </r>
  <r>
    <d v="2026-03-15T00:00:00"/>
    <m/>
    <m/>
    <m/>
    <x v="5"/>
    <x v="15"/>
    <n v="25000"/>
    <n v="0.05"/>
    <n v="1250"/>
  </r>
  <r>
    <d v="2026-03-15T00:00:00"/>
    <s v="Mg Nay Thu Rein"/>
    <s v="1 5/12 yrs"/>
    <s v="M"/>
    <x v="5"/>
    <x v="14"/>
    <n v="10000"/>
    <n v="0.05"/>
    <n v="500"/>
  </r>
  <r>
    <d v="2026-03-15T00:00:00"/>
    <s v="Ma Nyo Nyo Khaing"/>
    <s v="37 yrs"/>
    <s v="F"/>
    <x v="5"/>
    <x v="0"/>
    <n v="30000"/>
    <n v="0.15"/>
    <n v="4500"/>
  </r>
  <r>
    <d v="2026-03-15T00:00:00"/>
    <m/>
    <m/>
    <m/>
    <x v="5"/>
    <x v="14"/>
    <n v="10000"/>
    <n v="0.05"/>
    <n v="500"/>
  </r>
  <r>
    <d v="2026-03-15T00:00:00"/>
    <s v="Mg Nay Linn Htet"/>
    <s v="6 yrs"/>
    <s v="M"/>
    <x v="5"/>
    <x v="0"/>
    <n v="30000"/>
    <n v="0.15"/>
    <n v="4500"/>
  </r>
  <r>
    <d v="2026-03-15T00:00:00"/>
    <m/>
    <m/>
    <m/>
    <x v="5"/>
    <x v="10"/>
    <n v="12000"/>
    <n v="0.05"/>
    <n v="600"/>
  </r>
  <r>
    <d v="2026-03-15T00:00:00"/>
    <m/>
    <m/>
    <m/>
    <x v="5"/>
    <x v="13"/>
    <n v="30000"/>
    <n v="0.05"/>
    <n v="1500"/>
  </r>
  <r>
    <d v="2026-03-15T00:00:00"/>
    <m/>
    <m/>
    <m/>
    <x v="5"/>
    <x v="11"/>
    <n v="25000"/>
    <n v="0.05"/>
    <n v="1250"/>
  </r>
  <r>
    <d v="2026-03-15T00:00:00"/>
    <m/>
    <m/>
    <m/>
    <x v="5"/>
    <x v="3"/>
    <n v="10000"/>
    <n v="0.15"/>
    <n v="1500"/>
  </r>
  <r>
    <d v="2026-03-15T00:00:00"/>
    <m/>
    <m/>
    <m/>
    <x v="5"/>
    <x v="4"/>
    <n v="30000"/>
    <n v="0.15"/>
    <n v="4500"/>
  </r>
  <r>
    <d v="2026-03-15T00:00:00"/>
    <m/>
    <m/>
    <m/>
    <x v="5"/>
    <x v="21"/>
    <n v="25000"/>
    <n v="0.15"/>
    <n v="3750"/>
  </r>
  <r>
    <d v="2026-03-15T00:00:00"/>
    <s v="Ma Jar Brang"/>
    <s v="33 yrs"/>
    <s v="F"/>
    <x v="2"/>
    <x v="14"/>
    <n v="10000"/>
    <n v="0.05"/>
    <n v="500"/>
  </r>
  <r>
    <d v="2026-03-15T00:00:00"/>
    <m/>
    <m/>
    <m/>
    <x v="2"/>
    <x v="22"/>
    <n v="12000"/>
    <n v="0.05"/>
    <n v="600"/>
  </r>
  <r>
    <d v="2026-03-16T00:00:00"/>
    <s v="Ko Aung Latt"/>
    <s v="28 yrs"/>
    <s v="M"/>
    <x v="3"/>
    <x v="16"/>
    <n v="7000"/>
    <n v="0.05"/>
    <n v="350"/>
  </r>
  <r>
    <d v="2026-03-16T00:00:00"/>
    <m/>
    <m/>
    <m/>
    <x v="3"/>
    <x v="3"/>
    <n v="10000"/>
    <n v="0.15"/>
    <n v="1500"/>
  </r>
  <r>
    <d v="2026-03-16T00:00:00"/>
    <m/>
    <m/>
    <m/>
    <x v="3"/>
    <x v="7"/>
    <n v="36000"/>
    <n v="0.15"/>
    <n v="5400"/>
  </r>
  <r>
    <d v="2026-03-17T00:00:00"/>
    <s v="Ma Wah Wah"/>
    <s v="32 yrs"/>
    <s v="F"/>
    <x v="0"/>
    <x v="17"/>
    <n v="7000"/>
    <n v="0.05"/>
    <n v="350"/>
  </r>
  <r>
    <d v="2026-03-17T00:00:00"/>
    <m/>
    <m/>
    <m/>
    <x v="0"/>
    <x v="18"/>
    <n v="7000"/>
    <n v="0.05"/>
    <n v="350"/>
  </r>
  <r>
    <d v="2026-03-17T00:00:00"/>
    <m/>
    <m/>
    <m/>
    <x v="0"/>
    <x v="19"/>
    <n v="10000"/>
    <n v="0.05"/>
    <n v="500"/>
  </r>
  <r>
    <d v="2026-03-17T00:00:00"/>
    <m/>
    <m/>
    <m/>
    <x v="0"/>
    <x v="16"/>
    <n v="7000"/>
    <n v="0.05"/>
    <n v="350"/>
  </r>
  <r>
    <d v="2026-03-18T00:00:00"/>
    <s v="U Win Hlaing"/>
    <s v="53 yrs"/>
    <s v="M"/>
    <x v="6"/>
    <x v="3"/>
    <n v="10000"/>
    <n v="0.15"/>
    <n v="1500"/>
  </r>
  <r>
    <d v="2026-03-18T00:00:00"/>
    <m/>
    <m/>
    <m/>
    <x v="6"/>
    <x v="12"/>
    <n v="25000"/>
    <n v="0.05"/>
    <n v="1250"/>
  </r>
  <r>
    <d v="2026-03-18T00:00:00"/>
    <s v="Ma Thwal Thwal Win"/>
    <s v="30 yrs"/>
    <s v="F"/>
    <x v="1"/>
    <x v="23"/>
    <n v="15000"/>
    <n v="0.05"/>
    <n v="750"/>
  </r>
  <r>
    <d v="2026-03-19T00:00:00"/>
    <s v="Mg Linn Thuta Naing"/>
    <s v="6/12 yrs"/>
    <s v="M"/>
    <x v="5"/>
    <x v="0"/>
    <n v="30000"/>
    <n v="0.15"/>
    <n v="4500"/>
  </r>
  <r>
    <d v="2026-03-19T00:00:00"/>
    <m/>
    <m/>
    <m/>
    <x v="5"/>
    <x v="11"/>
    <n v="25000"/>
    <n v="0.05"/>
    <n v="1250"/>
  </r>
  <r>
    <d v="2026-03-19T00:00:00"/>
    <s v="Mg Kaung Thant Zaw"/>
    <s v="1 4/12 yrs"/>
    <s v="M"/>
    <x v="5"/>
    <x v="3"/>
    <n v="10000"/>
    <n v="0.15"/>
    <n v="1500"/>
  </r>
  <r>
    <d v="2026-03-19T00:00:00"/>
    <m/>
    <m/>
    <m/>
    <x v="5"/>
    <x v="4"/>
    <n v="30000"/>
    <n v="0.15"/>
    <n v="4500"/>
  </r>
  <r>
    <d v="2026-03-20T00:00:00"/>
    <s v="Ko Aung"/>
    <s v="46 yrs"/>
    <s v="M"/>
    <x v="2"/>
    <x v="0"/>
    <n v="30000"/>
    <n v="0.15"/>
    <n v="4500"/>
  </r>
  <r>
    <m/>
    <m/>
    <m/>
    <m/>
    <x v="2"/>
    <x v="17"/>
    <n v="7000"/>
    <n v="0.05"/>
    <n v="350"/>
  </r>
  <r>
    <m/>
    <m/>
    <m/>
    <m/>
    <x v="2"/>
    <x v="18"/>
    <n v="7000"/>
    <n v="0.05"/>
    <n v="350"/>
  </r>
  <r>
    <m/>
    <m/>
    <m/>
    <m/>
    <x v="2"/>
    <x v="16"/>
    <n v="7000"/>
    <n v="0.05"/>
    <n v="350"/>
  </r>
  <r>
    <m/>
    <m/>
    <m/>
    <m/>
    <x v="2"/>
    <x v="19"/>
    <n v="10000"/>
    <n v="0.05"/>
    <n v="500"/>
  </r>
  <r>
    <m/>
    <m/>
    <m/>
    <m/>
    <x v="2"/>
    <x v="24"/>
    <n v="25000"/>
    <n v="0.05"/>
    <n v="1250"/>
  </r>
  <r>
    <m/>
    <m/>
    <m/>
    <m/>
    <x v="2"/>
    <x v="25"/>
    <n v="20000"/>
    <n v="0.05"/>
    <n v="1000"/>
  </r>
  <r>
    <m/>
    <m/>
    <m/>
    <m/>
    <x v="2"/>
    <x v="26"/>
    <n v="20000"/>
    <n v="0.05"/>
    <n v="1000"/>
  </r>
  <r>
    <d v="2026-03-21T00:00:00"/>
    <s v="U Tuu Aung"/>
    <s v="60 yrs"/>
    <s v="M"/>
    <x v="2"/>
    <x v="7"/>
    <n v="36000"/>
    <n v="0.15"/>
    <n v="5400"/>
  </r>
  <r>
    <m/>
    <m/>
    <m/>
    <m/>
    <x v="2"/>
    <x v="17"/>
    <n v="7000"/>
    <n v="0.05"/>
    <n v="350"/>
  </r>
  <r>
    <m/>
    <m/>
    <m/>
    <m/>
    <x v="2"/>
    <x v="18"/>
    <n v="7000"/>
    <n v="0.05"/>
    <n v="350"/>
  </r>
  <r>
    <m/>
    <s v="Ma Yoon TheinGi Tun"/>
    <s v="17 yrs"/>
    <s v="F"/>
    <x v="0"/>
    <x v="9"/>
    <n v="10000"/>
    <n v="0.15"/>
    <n v="1500"/>
  </r>
  <r>
    <d v="2026-03-22T00:00:00"/>
    <s v="Ma Seng Mei"/>
    <s v="19 yrs"/>
    <s v="F"/>
    <x v="2"/>
    <x v="0"/>
    <n v="30000"/>
    <n v="0.15"/>
    <n v="4500"/>
  </r>
  <r>
    <m/>
    <m/>
    <m/>
    <m/>
    <x v="2"/>
    <x v="2"/>
    <n v="12000"/>
    <n v="0.05"/>
    <n v="600"/>
  </r>
  <r>
    <m/>
    <s v="Mg Nay Linn Htet"/>
    <s v="6 yrs"/>
    <s v="M"/>
    <x v="5"/>
    <x v="10"/>
    <n v="12000"/>
    <n v="0.05"/>
    <n v="600"/>
  </r>
  <r>
    <m/>
    <s v="U Tuu Zaw"/>
    <s v="44 yrs"/>
    <s v="M"/>
    <x v="0"/>
    <x v="17"/>
    <n v="7000"/>
    <n v="0.05"/>
    <n v="350"/>
  </r>
  <r>
    <m/>
    <m/>
    <m/>
    <m/>
    <x v="0"/>
    <x v="18"/>
    <n v="7000"/>
    <n v="0.05"/>
    <n v="350"/>
  </r>
  <r>
    <m/>
    <m/>
    <m/>
    <m/>
    <x v="0"/>
    <x v="19"/>
    <n v="10000"/>
    <n v="0.05"/>
    <n v="500"/>
  </r>
  <r>
    <m/>
    <m/>
    <m/>
    <m/>
    <x v="0"/>
    <x v="16"/>
    <n v="7000"/>
    <n v="0.05"/>
    <n v="350"/>
  </r>
  <r>
    <m/>
    <s v="Ma Aye Kyu"/>
    <s v="29 yrs"/>
    <s v="F"/>
    <x v="0"/>
    <x v="17"/>
    <n v="7000"/>
    <n v="0.05"/>
    <n v="350"/>
  </r>
  <r>
    <m/>
    <m/>
    <m/>
    <m/>
    <x v="0"/>
    <x v="18"/>
    <n v="7000"/>
    <n v="0.05"/>
    <n v="350"/>
  </r>
  <r>
    <m/>
    <m/>
    <m/>
    <m/>
    <x v="0"/>
    <x v="19"/>
    <n v="10000"/>
    <n v="0.05"/>
    <n v="500"/>
  </r>
  <r>
    <m/>
    <m/>
    <m/>
    <m/>
    <x v="0"/>
    <x v="16"/>
    <n v="7000"/>
    <n v="0.05"/>
    <n v="350"/>
  </r>
  <r>
    <d v="2026-03-23T00:00:00"/>
    <s v="Mg Sutb Rein Aung"/>
    <s v="9 yrs"/>
    <s v="M"/>
    <x v="5"/>
    <x v="10"/>
    <n v="12000"/>
    <n v="0.05"/>
    <n v="600"/>
  </r>
  <r>
    <m/>
    <s v="Ma Htoi Nuu Khin"/>
    <s v="2 yrs"/>
    <s v="F"/>
    <x v="5"/>
    <x v="14"/>
    <n v="10000"/>
    <n v="0.05"/>
    <n v="500"/>
  </r>
  <r>
    <m/>
    <m/>
    <m/>
    <m/>
    <x v="5"/>
    <x v="22"/>
    <n v="12000"/>
    <n v="0.05"/>
    <n v="600"/>
  </r>
  <r>
    <d v="2026-03-25T00:00:00"/>
    <s v="Mg Zwe Thurein Tun"/>
    <s v="1 6/12 yrs"/>
    <s v="M"/>
    <x v="5"/>
    <x v="0"/>
    <n v="30000"/>
    <n v="0.15"/>
    <n v="4500"/>
  </r>
  <r>
    <d v="2026-03-27T00:00:00"/>
    <s v="U Kyaw Sann"/>
    <s v="65 yrs"/>
    <s v="M"/>
    <x v="3"/>
    <x v="0"/>
    <n v="30000"/>
    <n v="0.15"/>
    <n v="4500"/>
  </r>
  <r>
    <m/>
    <m/>
    <m/>
    <m/>
    <x v="3"/>
    <x v="27"/>
    <n v="10000"/>
    <n v="0.15"/>
    <n v="1500"/>
  </r>
  <r>
    <m/>
    <m/>
    <m/>
    <m/>
    <x v="3"/>
    <x v="14"/>
    <n v="10000"/>
    <n v="0.05"/>
    <n v="500"/>
  </r>
  <r>
    <m/>
    <m/>
    <m/>
    <m/>
    <x v="3"/>
    <x v="22"/>
    <n v="12000"/>
    <n v="0.05"/>
    <n v="600"/>
  </r>
  <r>
    <m/>
    <m/>
    <m/>
    <m/>
    <x v="3"/>
    <x v="28"/>
    <n v="12000"/>
    <n v="0.05"/>
    <n v="600"/>
  </r>
  <r>
    <m/>
    <m/>
    <m/>
    <m/>
    <x v="3"/>
    <x v="11"/>
    <n v="25000"/>
    <n v="0.05"/>
    <n v="1250"/>
  </r>
  <r>
    <m/>
    <m/>
    <m/>
    <m/>
    <x v="3"/>
    <x v="10"/>
    <n v="12000"/>
    <n v="0.05"/>
    <n v="600"/>
  </r>
  <r>
    <m/>
    <m/>
    <m/>
    <m/>
    <x v="3"/>
    <x v="3"/>
    <n v="10000"/>
    <n v="0.15"/>
    <n v="1500"/>
  </r>
  <r>
    <m/>
    <m/>
    <m/>
    <m/>
    <x v="3"/>
    <x v="7"/>
    <n v="36000"/>
    <n v="0.15"/>
    <n v="5400"/>
  </r>
  <r>
    <m/>
    <m/>
    <m/>
    <m/>
    <x v="3"/>
    <x v="29"/>
    <n v="28000"/>
    <n v="0"/>
    <n v="0"/>
  </r>
  <r>
    <m/>
    <s v="Daw Khaun Sann"/>
    <s v="53 yrs"/>
    <s v="F"/>
    <x v="3"/>
    <x v="0"/>
    <n v="30000"/>
    <n v="0.15"/>
    <n v="4500"/>
  </r>
  <r>
    <m/>
    <m/>
    <m/>
    <m/>
    <x v="3"/>
    <x v="25"/>
    <n v="20000"/>
    <n v="0.05"/>
    <n v="1000"/>
  </r>
  <r>
    <m/>
    <m/>
    <m/>
    <m/>
    <x v="3"/>
    <x v="26"/>
    <n v="20000"/>
    <n v="0.05"/>
    <n v="1000"/>
  </r>
  <r>
    <m/>
    <m/>
    <m/>
    <m/>
    <x v="3"/>
    <x v="24"/>
    <n v="25000"/>
    <n v="0.05"/>
    <n v="1250"/>
  </r>
  <r>
    <m/>
    <s v="Ma Thae Thae Oo"/>
    <s v="21 yrs"/>
    <s v="F"/>
    <x v="10"/>
    <x v="0"/>
    <n v="30000"/>
    <n v="0.15"/>
    <n v="4500"/>
  </r>
  <r>
    <m/>
    <m/>
    <m/>
    <m/>
    <x v="10"/>
    <x v="30"/>
    <n v="25000"/>
    <n v="0"/>
    <n v="0"/>
  </r>
  <r>
    <m/>
    <m/>
    <m/>
    <m/>
    <x v="10"/>
    <x v="17"/>
    <n v="7000"/>
    <n v="0.05"/>
    <n v="350"/>
  </r>
  <r>
    <m/>
    <m/>
    <m/>
    <m/>
    <x v="10"/>
    <x v="18"/>
    <n v="7000"/>
    <n v="0.05"/>
    <n v="350"/>
  </r>
  <r>
    <m/>
    <m/>
    <m/>
    <m/>
    <x v="10"/>
    <x v="19"/>
    <n v="10000"/>
    <n v="0.05"/>
    <n v="500"/>
  </r>
  <r>
    <m/>
    <m/>
    <m/>
    <m/>
    <x v="10"/>
    <x v="31"/>
    <n v="7000"/>
    <n v="0.05"/>
    <n v="350"/>
  </r>
  <r>
    <m/>
    <m/>
    <m/>
    <m/>
    <x v="10"/>
    <x v="11"/>
    <n v="25000"/>
    <n v="0.05"/>
    <n v="1250"/>
  </r>
  <r>
    <d v="2026-03-29T00:00:00"/>
    <s v="Ma Yoon Nadi Tun"/>
    <s v="17 yrs"/>
    <s v="F"/>
    <x v="0"/>
    <x v="32"/>
    <n v="25000"/>
    <n v="0.05"/>
    <n v="1250"/>
  </r>
  <r>
    <m/>
    <s v="Daw ThaZin Htwe"/>
    <s v="26 yrs"/>
    <s v="F"/>
    <x v="3"/>
    <x v="0"/>
    <n v="30000"/>
    <n v="0.15"/>
    <n v="4500"/>
  </r>
  <r>
    <m/>
    <m/>
    <m/>
    <m/>
    <x v="3"/>
    <x v="27"/>
    <n v="10000"/>
    <n v="0.15"/>
    <n v="1500"/>
  </r>
  <r>
    <m/>
    <m/>
    <m/>
    <m/>
    <x v="3"/>
    <x v="3"/>
    <n v="10000"/>
    <n v="0.15"/>
    <n v="1500"/>
  </r>
  <r>
    <m/>
    <m/>
    <m/>
    <m/>
    <x v="3"/>
    <x v="7"/>
    <n v="36000"/>
    <n v="0.15"/>
    <n v="5400"/>
  </r>
  <r>
    <d v="2026-03-30T00:00:00"/>
    <s v="U Kyaw Than"/>
    <s v="65 yrs"/>
    <s v="M"/>
    <x v="3"/>
    <x v="0"/>
    <n v="30000"/>
    <n v="0.15"/>
    <n v="4500"/>
  </r>
  <r>
    <m/>
    <m/>
    <m/>
    <m/>
    <x v="3"/>
    <x v="11"/>
    <n v="25000"/>
    <n v="0.05"/>
    <n v="1250"/>
  </r>
  <r>
    <m/>
    <s v="U Sai Lone"/>
    <s v="52 yrs"/>
    <s v="M"/>
    <x v="3"/>
    <x v="0"/>
    <n v="30000"/>
    <n v="0.15"/>
    <n v="4500"/>
  </r>
  <r>
    <m/>
    <m/>
    <m/>
    <m/>
    <x v="3"/>
    <x v="30"/>
    <n v="25000"/>
    <n v="0"/>
    <n v="0"/>
  </r>
  <r>
    <m/>
    <m/>
    <m/>
    <m/>
    <x v="3"/>
    <x v="17"/>
    <n v="7000"/>
    <n v="0.05"/>
    <n v="350"/>
  </r>
  <r>
    <m/>
    <m/>
    <m/>
    <m/>
    <x v="3"/>
    <x v="18"/>
    <n v="7000"/>
    <n v="0.05"/>
    <n v="350"/>
  </r>
  <r>
    <m/>
    <m/>
    <m/>
    <m/>
    <x v="3"/>
    <x v="14"/>
    <n v="10000"/>
    <n v="0.05"/>
    <n v="500"/>
  </r>
  <r>
    <m/>
    <m/>
    <m/>
    <m/>
    <x v="3"/>
    <x v="10"/>
    <n v="12000"/>
    <n v="0.05"/>
    <n v="600"/>
  </r>
  <r>
    <m/>
    <m/>
    <m/>
    <m/>
    <x v="3"/>
    <x v="4"/>
    <n v="30000"/>
    <n v="0.15"/>
    <n v="4500"/>
  </r>
  <r>
    <m/>
    <m/>
    <m/>
    <m/>
    <x v="3"/>
    <x v="7"/>
    <n v="36000"/>
    <n v="0.15"/>
    <n v="5400"/>
  </r>
  <r>
    <m/>
    <m/>
    <m/>
    <m/>
    <x v="3"/>
    <x v="21"/>
    <n v="25000"/>
    <n v="0.15"/>
    <n v="3750"/>
  </r>
  <r>
    <d v="2026-03-31T00:00:00"/>
    <s v="U Kyaw Khaing"/>
    <s v="60 yrs"/>
    <s v="M"/>
    <x v="9"/>
    <x v="10"/>
    <n v="12000"/>
    <n v="0.05"/>
    <n v="600"/>
  </r>
  <r>
    <m/>
    <s v="Ma Thwal Thwal Oo"/>
    <s v="26 yrs"/>
    <s v="F"/>
    <x v="11"/>
    <x v="0"/>
    <n v="30000"/>
    <n v="0.15"/>
    <n v="4500"/>
  </r>
  <r>
    <m/>
    <m/>
    <m/>
    <m/>
    <x v="11"/>
    <x v="27"/>
    <n v="10000"/>
    <n v="0.15"/>
    <n v="1500"/>
  </r>
  <r>
    <m/>
    <m/>
    <m/>
    <m/>
    <x v="11"/>
    <x v="22"/>
    <n v="12000"/>
    <n v="0.05"/>
    <n v="600"/>
  </r>
  <r>
    <m/>
    <m/>
    <m/>
    <m/>
    <x v="11"/>
    <x v="28"/>
    <n v="12000"/>
    <n v="0.05"/>
    <n v="600"/>
  </r>
  <r>
    <m/>
    <m/>
    <m/>
    <m/>
    <x v="11"/>
    <x v="11"/>
    <n v="25000"/>
    <n v="0.05"/>
    <n v="1250"/>
  </r>
  <r>
    <m/>
    <m/>
    <m/>
    <m/>
    <x v="11"/>
    <x v="10"/>
    <n v="12000"/>
    <n v="0.05"/>
    <n v="600"/>
  </r>
  <r>
    <m/>
    <s v="U Ma Ram Gum"/>
    <s v="67 yrs"/>
    <s v="M"/>
    <x v="3"/>
    <x v="0"/>
    <n v="30000"/>
    <n v="0.15"/>
    <n v="4500"/>
  </r>
  <r>
    <m/>
    <m/>
    <m/>
    <m/>
    <x v="3"/>
    <x v="27"/>
    <n v="10000"/>
    <n v="0.15"/>
    <n v="1500"/>
  </r>
  <r>
    <m/>
    <m/>
    <m/>
    <m/>
    <x v="3"/>
    <x v="17"/>
    <n v="7000"/>
    <n v="0.05"/>
    <n v="350"/>
  </r>
  <r>
    <m/>
    <m/>
    <m/>
    <m/>
    <x v="3"/>
    <x v="18"/>
    <n v="7000"/>
    <n v="0.05"/>
    <n v="350"/>
  </r>
  <r>
    <m/>
    <m/>
    <m/>
    <m/>
    <x v="3"/>
    <x v="19"/>
    <n v="10000"/>
    <n v="0.05"/>
    <n v="500"/>
  </r>
  <r>
    <m/>
    <m/>
    <m/>
    <m/>
    <x v="3"/>
    <x v="10"/>
    <n v="12000"/>
    <n v="0.05"/>
    <n v="600"/>
  </r>
  <r>
    <m/>
    <m/>
    <m/>
    <m/>
    <x v="3"/>
    <x v="3"/>
    <n v="10000"/>
    <n v="0.15"/>
    <n v="1500"/>
  </r>
  <r>
    <m/>
    <m/>
    <m/>
    <m/>
    <x v="3"/>
    <x v="1"/>
    <n v="10000"/>
    <n v="0.15"/>
    <n v="1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38A5C-C4C7-4470-8FC1-147870EDB36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st Name">
  <location ref="A3:B37" firstHeaderRow="1" firstDataRow="1" firstDataCol="1"/>
  <pivotFields count="9">
    <pivotField showAll="0"/>
    <pivotField showAll="0"/>
    <pivotField showAll="0"/>
    <pivotField showAll="0"/>
    <pivotField showAll="0"/>
    <pivotField axis="axisRow" dataField="1" showAll="0" sortType="descending">
      <items count="44">
        <item m="1" x="34"/>
        <item x="13"/>
        <item x="0"/>
        <item x="3"/>
        <item x="11"/>
        <item x="15"/>
        <item x="4"/>
        <item x="27"/>
        <item x="26"/>
        <item x="8"/>
        <item x="9"/>
        <item m="1" x="40"/>
        <item m="1" x="38"/>
        <item x="12"/>
        <item x="17"/>
        <item x="32"/>
        <item x="18"/>
        <item x="19"/>
        <item x="23"/>
        <item m="1" x="36"/>
        <item x="7"/>
        <item x="5"/>
        <item x="22"/>
        <item x="14"/>
        <item x="30"/>
        <item m="1" x="35"/>
        <item m="1" x="41"/>
        <item m="1" x="33"/>
        <item x="21"/>
        <item m="1" x="39"/>
        <item m="1" x="37"/>
        <item x="6"/>
        <item x="24"/>
        <item x="1"/>
        <item x="20"/>
        <item x="10"/>
        <item m="1" x="42"/>
        <item x="2"/>
        <item x="16"/>
        <item x="25"/>
        <item x="28"/>
        <item x="29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9" showAll="0"/>
    <pivotField numFmtId="3" showAll="0"/>
  </pivotFields>
  <rowFields count="1">
    <field x="5"/>
  </rowFields>
  <rowItems count="34">
    <i>
      <x v="2"/>
    </i>
    <i>
      <x v="3"/>
    </i>
    <i>
      <x v="6"/>
    </i>
    <i>
      <x v="35"/>
    </i>
    <i>
      <x v="16"/>
    </i>
    <i>
      <x v="23"/>
    </i>
    <i>
      <x v="14"/>
    </i>
    <i>
      <x v="20"/>
    </i>
    <i>
      <x v="4"/>
    </i>
    <i>
      <x v="17"/>
    </i>
    <i>
      <x v="38"/>
    </i>
    <i>
      <x v="21"/>
    </i>
    <i>
      <x v="13"/>
    </i>
    <i>
      <x v="9"/>
    </i>
    <i>
      <x v="37"/>
    </i>
    <i>
      <x v="5"/>
    </i>
    <i>
      <x v="22"/>
    </i>
    <i>
      <x v="7"/>
    </i>
    <i>
      <x v="10"/>
    </i>
    <i>
      <x v="28"/>
    </i>
    <i>
      <x v="40"/>
    </i>
    <i>
      <x v="8"/>
    </i>
    <i>
      <x v="1"/>
    </i>
    <i>
      <x v="32"/>
    </i>
    <i>
      <x v="39"/>
    </i>
    <i>
      <x v="33"/>
    </i>
    <i>
      <x v="34"/>
    </i>
    <i>
      <x v="24"/>
    </i>
    <i>
      <x v="41"/>
    </i>
    <i>
      <x v="31"/>
    </i>
    <i>
      <x v="42"/>
    </i>
    <i>
      <x v="15"/>
    </i>
    <i>
      <x v="18"/>
    </i>
    <i t="grand">
      <x/>
    </i>
  </rowItems>
  <colItems count="1">
    <i/>
  </colItems>
  <dataFields count="1">
    <dataField name="Test Count" fld="5" subtotal="count" baseField="5" baseItem="0"/>
  </dataFields>
  <formats count="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5" type="button" dataOnly="0" labelOnly="1" outline="0" axis="axisRow" fieldPosition="0"/>
    </format>
    <format dxfId="14">
      <pivotArea dataOnly="0" labelOnly="1" fieldPosition="0">
        <references count="1">
          <reference field="5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field="5" type="button" dataOnly="0" labelOnly="1" outline="0" axis="axisRow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8273E-3312-4EC5-A93A-423274F8946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 Names">
  <location ref="A3:B16" firstHeaderRow="1" firstDataRow="1" firstDataCol="1" rowPageCount="1" colPageCount="1"/>
  <pivotFields count="9">
    <pivotField showAll="0"/>
    <pivotField showAll="0"/>
    <pivotField showAll="0"/>
    <pivotField showAll="0"/>
    <pivotField axis="axisRow" showAll="0" sortType="descending">
      <items count="20">
        <item x="9"/>
        <item x="8"/>
        <item m="1" x="17"/>
        <item x="2"/>
        <item x="5"/>
        <item x="3"/>
        <item x="6"/>
        <item x="0"/>
        <item m="1" x="15"/>
        <item m="1" x="16"/>
        <item m="1" x="13"/>
        <item x="1"/>
        <item m="1" x="18"/>
        <item m="1" x="14"/>
        <item m="1" x="12"/>
        <item x="4"/>
        <item x="7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Test Name" axis="axisPage" showAll="0">
      <items count="44">
        <item x="0"/>
        <item x="3"/>
        <item x="11"/>
        <item x="15"/>
        <item x="4"/>
        <item x="27"/>
        <item x="8"/>
        <item m="1" x="40"/>
        <item m="1" x="38"/>
        <item x="12"/>
        <item x="17"/>
        <item x="32"/>
        <item x="18"/>
        <item x="19"/>
        <item x="23"/>
        <item m="1" x="36"/>
        <item x="7"/>
        <item x="5"/>
        <item x="22"/>
        <item x="14"/>
        <item x="30"/>
        <item m="1" x="41"/>
        <item x="21"/>
        <item m="1" x="39"/>
        <item m="1" x="37"/>
        <item x="24"/>
        <item x="1"/>
        <item x="20"/>
        <item x="10"/>
        <item m="1" x="42"/>
        <item x="16"/>
        <item m="1" x="33"/>
        <item x="6"/>
        <item x="13"/>
        <item x="2"/>
        <item x="9"/>
        <item m="1" x="34"/>
        <item m="1" x="35"/>
        <item x="26"/>
        <item x="25"/>
        <item x="28"/>
        <item x="29"/>
        <item x="31"/>
        <item t="default"/>
      </items>
    </pivotField>
    <pivotField numFmtId="3" showAll="0"/>
    <pivotField numFmtId="9" showAll="0"/>
    <pivotField dataField="1" numFmtId="3" showAll="0"/>
  </pivotFields>
  <rowFields count="1">
    <field x="4"/>
  </rowFields>
  <rowItems count="13">
    <i>
      <x v="5"/>
    </i>
    <i>
      <x v="4"/>
    </i>
    <i>
      <x v="3"/>
    </i>
    <i>
      <x v="7"/>
    </i>
    <i>
      <x v="6"/>
    </i>
    <i>
      <x v="18"/>
    </i>
    <i>
      <x/>
    </i>
    <i>
      <x v="17"/>
    </i>
    <i>
      <x v="16"/>
    </i>
    <i>
      <x v="1"/>
    </i>
    <i>
      <x v="11"/>
    </i>
    <i>
      <x v="15"/>
    </i>
    <i t="grand">
      <x/>
    </i>
  </rowItems>
  <colItems count="1">
    <i/>
  </colItems>
  <pageFields count="1">
    <pageField fld="5" hier="-1"/>
  </pageFields>
  <dataFields count="1">
    <dataField name="Total Refer Fee Amount" fld="8" baseField="4" baseItem="0" numFmtId="3"/>
  </dataFields>
  <formats count="8">
    <format dxfId="9">
      <pivotArea type="all" dataOnly="0" outline="0" fieldPosition="0"/>
    </format>
    <format dxfId="8">
      <pivotArea outline="0" collapsedLevelsAreSubtotals="1" fieldPosition="0"/>
    </format>
    <format dxfId="7">
      <pivotArea field="4" type="button" dataOnly="0" labelOnly="1" outline="0" axis="axisRow" fieldPosition="0"/>
    </format>
    <format dxfId="6">
      <pivotArea dataOnly="0" labelOnly="1" fieldPosition="0">
        <references count="1">
          <reference field="4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3">
      <pivotArea field="4" type="button" dataOnly="0" labelOnly="1" outline="0" axis="axisRow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F843FA-AD1F-4CFC-A84E-FDC4C1DAB5D2}" name="Table2" displayName="Table2" ref="A1:I196" dataDxfId="37" tableBorderDxfId="36">
  <autoFilter ref="A1:I196" xr:uid="{11F843FA-AD1F-4CFC-A84E-FDC4C1DAB5D2}"/>
  <tableColumns count="9">
    <tableColumn id="1" xr3:uid="{0799DCFE-ECC7-4D59-8994-A699478BBD0B}" name="Date" totalsRowLabel="Total" dataDxfId="35" totalsRowDxfId="34"/>
    <tableColumn id="2" xr3:uid="{35C3DF39-C34C-4D52-A93C-E154B41D9C57}" name="Name" dataDxfId="33" totalsRowDxfId="32"/>
    <tableColumn id="3" xr3:uid="{00770472-6293-4DE4-A55A-213B747EF660}" name="Age" dataDxfId="31" totalsRowDxfId="30"/>
    <tableColumn id="4" xr3:uid="{90C8D475-8EC7-4488-913F-205F3205A818}" name="Gender" dataDxfId="29" totalsRowDxfId="28"/>
    <tableColumn id="5" xr3:uid="{F9CB2D01-2381-448D-A27D-4D2EEBDC2E66}" name="Refer By" dataDxfId="27" totalsRowDxfId="26"/>
    <tableColumn id="6" xr3:uid="{8B4D4C52-32A1-4BD7-AD9B-9EA212B06BFB}" name="Test" dataDxfId="25" totalsRowDxfId="24"/>
    <tableColumn id="7" xr3:uid="{DAF6F104-EA20-4999-956B-4B376473C0C0}" name="Price" dataDxfId="23" totalsRowDxfId="22">
      <calculatedColumnFormula>IFERROR(VLOOKUP(F2, Price_Master!$A$2:$C$201, 2, FALSE), "")</calculatedColumnFormula>
    </tableColumn>
    <tableColumn id="8" xr3:uid="{0EECDDB1-934F-4DE2-BC07-36C1C144CCEA}" name="Refer Fee %" dataDxfId="21" totalsRowDxfId="20">
      <calculatedColumnFormula>IFERROR(VLOOKUP(F2, Price_Master!$A$2:$C$201, 3, FALSE), 0)</calculatedColumnFormula>
    </tableColumn>
    <tableColumn id="9" xr3:uid="{7504BCAD-A788-4B57-B2E3-BE42F4652152}" name="Refer Fee Amount" totalsRowFunction="sum" dataDxfId="19" totalsRowDxfId="18">
      <calculatedColumnFormula>IFERROR(G2*H2, "")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C89A31-72BD-4C31-B363-39F6226FFD75}" name="tblPrice" displayName="tblPrice" ref="A1:C69" totalsRowShown="0">
  <autoFilter ref="A1:C69" xr:uid="{5FC89A31-72BD-4C31-B363-39F6226FFD75}"/>
  <tableColumns count="3">
    <tableColumn id="1" xr3:uid="{37C656CE-4DE8-416A-8798-00362DE60134}" name="Test"/>
    <tableColumn id="2" xr3:uid="{E215151E-5E1A-4CA9-8FC0-A27A24A890C8}" name="Price" dataDxfId="1"/>
    <tableColumn id="3" xr3:uid="{DEEB363C-68D7-42FE-9A33-8BFDA2CC26B0}" name="Fee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1498C-89CB-4FC1-A3A0-0186634AEB43}">
  <dimension ref="A1:L196"/>
  <sheetViews>
    <sheetView tabSelected="1" topLeftCell="A136" zoomScale="90" zoomScaleNormal="90" workbookViewId="0">
      <selection activeCell="L189" sqref="L189"/>
    </sheetView>
  </sheetViews>
  <sheetFormatPr defaultRowHeight="15" x14ac:dyDescent="0.25"/>
  <cols>
    <col min="1" max="1" width="14.5703125" style="17" bestFit="1" customWidth="1"/>
    <col min="2" max="2" width="29.42578125" style="2" bestFit="1" customWidth="1"/>
    <col min="3" max="3" width="12.5703125" style="2" bestFit="1" customWidth="1"/>
    <col min="4" max="4" width="15.7109375" style="2" bestFit="1" customWidth="1"/>
    <col min="5" max="5" width="18.5703125" style="2" bestFit="1" customWidth="1"/>
    <col min="6" max="6" width="17.28515625" style="2" bestFit="1" customWidth="1"/>
    <col min="7" max="7" width="11.85546875" style="1" bestFit="1" customWidth="1"/>
    <col min="8" max="8" width="23.28515625" style="3" bestFit="1" customWidth="1"/>
    <col min="9" max="9" width="33.7109375" style="1" bestFit="1" customWidth="1"/>
    <col min="12" max="12" width="28.85546875" customWidth="1"/>
    <col min="14" max="14" width="22.140625" customWidth="1"/>
    <col min="15" max="15" width="19.28515625" bestFit="1" customWidth="1"/>
  </cols>
  <sheetData>
    <row r="1" spans="1:12" ht="27" thickBot="1" x14ac:dyDescent="0.4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7" t="s">
        <v>6</v>
      </c>
      <c r="H1" s="28" t="s">
        <v>55</v>
      </c>
      <c r="I1" s="27" t="s">
        <v>61</v>
      </c>
      <c r="K1" s="9" t="s">
        <v>81</v>
      </c>
      <c r="L1" s="29">
        <f>SUM(Daily_table!$G$2:$G$196)</f>
        <v>3690000</v>
      </c>
    </row>
    <row r="2" spans="1:12" ht="18.75" x14ac:dyDescent="0.3">
      <c r="A2" s="23">
        <v>46082</v>
      </c>
      <c r="B2" s="18" t="s">
        <v>85</v>
      </c>
      <c r="C2" s="18" t="s">
        <v>83</v>
      </c>
      <c r="D2" s="18" t="s">
        <v>79</v>
      </c>
      <c r="E2" s="18" t="s">
        <v>84</v>
      </c>
      <c r="F2" s="18" t="s">
        <v>7</v>
      </c>
      <c r="G2" s="19">
        <f>IFERROR(VLOOKUP(F2, Price_Master!$A$2:$C$201, 2, FALSE), "")</f>
        <v>30000</v>
      </c>
      <c r="H2" s="20">
        <f>IFERROR(VLOOKUP(F2, Price_Master!$A$2:$C$201, 3, FALSE), 0)</f>
        <v>0.15</v>
      </c>
      <c r="I2" s="19">
        <f t="shared" ref="I2" si="0">IFERROR(G2*H2, "")</f>
        <v>4500</v>
      </c>
    </row>
    <row r="3" spans="1:12" ht="18.75" x14ac:dyDescent="0.3">
      <c r="A3" s="24">
        <v>46083</v>
      </c>
      <c r="B3" s="21" t="s">
        <v>86</v>
      </c>
      <c r="C3" s="21" t="s">
        <v>87</v>
      </c>
      <c r="D3" s="21" t="s">
        <v>79</v>
      </c>
      <c r="E3" s="21" t="s">
        <v>88</v>
      </c>
      <c r="F3" s="21" t="s">
        <v>10</v>
      </c>
      <c r="G3" s="12">
        <f>IFERROR(VLOOKUP(F3, Price_Master!$A$2:$C$201, 2, FALSE), "")</f>
        <v>10000</v>
      </c>
      <c r="H3" s="22">
        <f>IFERROR(VLOOKUP(F3, Price_Master!$A$2:$C$201, 3, FALSE), 0)</f>
        <v>0.15</v>
      </c>
      <c r="I3" s="12">
        <f t="shared" ref="I3:I12" si="1">IFERROR(G3*H3, "")</f>
        <v>1500</v>
      </c>
    </row>
    <row r="4" spans="1:12" ht="18.75" x14ac:dyDescent="0.3">
      <c r="A4" s="23">
        <v>46083</v>
      </c>
      <c r="B4" s="18" t="s">
        <v>98</v>
      </c>
      <c r="C4" s="18" t="s">
        <v>89</v>
      </c>
      <c r="D4" s="18" t="s">
        <v>90</v>
      </c>
      <c r="E4" s="18" t="s">
        <v>91</v>
      </c>
      <c r="F4" s="18" t="s">
        <v>82</v>
      </c>
      <c r="G4" s="19">
        <f>IFERROR(VLOOKUP(F4, Price_Master!$A$2:$C$201, 2, FALSE), "")</f>
        <v>12000</v>
      </c>
      <c r="H4" s="20">
        <f>IFERROR(VLOOKUP(F4, Price_Master!$A$2:$C$201, 3, FALSE), 0)</f>
        <v>0.05</v>
      </c>
      <c r="I4" s="19">
        <f t="shared" si="1"/>
        <v>600</v>
      </c>
    </row>
    <row r="5" spans="1:12" ht="18.75" x14ac:dyDescent="0.3">
      <c r="A5" s="24">
        <v>46083</v>
      </c>
      <c r="B5" s="21"/>
      <c r="C5" s="21"/>
      <c r="D5" s="21"/>
      <c r="E5" s="21" t="s">
        <v>91</v>
      </c>
      <c r="F5" s="21" t="s">
        <v>49</v>
      </c>
      <c r="G5" s="12">
        <f>IFERROR(VLOOKUP(F5, Price_Master!$A$2:$C$201, 2, FALSE), "")</f>
        <v>10000</v>
      </c>
      <c r="H5" s="22">
        <f>IFERROR(VLOOKUP(F5, Price_Master!$A$2:$C$201, 3, FALSE), 0)</f>
        <v>0.15</v>
      </c>
      <c r="I5" s="12">
        <f t="shared" si="1"/>
        <v>1500</v>
      </c>
    </row>
    <row r="6" spans="1:12" ht="18.75" x14ac:dyDescent="0.3">
      <c r="A6" s="23">
        <v>46083</v>
      </c>
      <c r="B6" s="18" t="s">
        <v>92</v>
      </c>
      <c r="C6" s="18" t="s">
        <v>93</v>
      </c>
      <c r="D6" s="18" t="s">
        <v>90</v>
      </c>
      <c r="E6" s="18" t="s">
        <v>94</v>
      </c>
      <c r="F6" s="18" t="s">
        <v>7</v>
      </c>
      <c r="G6" s="19">
        <f>IFERROR(VLOOKUP(F6, Price_Master!$A$2:$C$201, 2, FALSE), "")</f>
        <v>30000</v>
      </c>
      <c r="H6" s="20">
        <f>IFERROR(VLOOKUP(F6, Price_Master!$A$2:$C$201, 3, FALSE), 0)</f>
        <v>0.15</v>
      </c>
      <c r="I6" s="19">
        <f t="shared" si="1"/>
        <v>4500</v>
      </c>
    </row>
    <row r="7" spans="1:12" ht="18.75" x14ac:dyDescent="0.3">
      <c r="A7" s="24">
        <v>46083</v>
      </c>
      <c r="B7" s="21"/>
      <c r="C7" s="21"/>
      <c r="D7" s="21"/>
      <c r="E7" s="21" t="s">
        <v>94</v>
      </c>
      <c r="F7" s="21" t="s">
        <v>95</v>
      </c>
      <c r="G7" s="12">
        <f>IFERROR(VLOOKUP(F7, Price_Master!$A$2:$C$201, 2, FALSE), "")</f>
        <v>30000</v>
      </c>
      <c r="H7" s="22">
        <f>IFERROR(VLOOKUP(F7, Price_Master!$A$2:$C$201, 3, FALSE), 0)</f>
        <v>0.15</v>
      </c>
      <c r="I7" s="12">
        <f t="shared" si="1"/>
        <v>4500</v>
      </c>
    </row>
    <row r="8" spans="1:12" ht="18.75" x14ac:dyDescent="0.3">
      <c r="A8" s="23">
        <v>46083</v>
      </c>
      <c r="B8" s="18"/>
      <c r="C8" s="18"/>
      <c r="D8" s="18"/>
      <c r="E8" s="18" t="s">
        <v>94</v>
      </c>
      <c r="F8" s="18" t="s">
        <v>49</v>
      </c>
      <c r="G8" s="19">
        <f>IFERROR(VLOOKUP(F8, Price_Master!$A$2:$C$201, 2, FALSE), "")</f>
        <v>10000</v>
      </c>
      <c r="H8" s="20">
        <f>IFERROR(VLOOKUP(F8, Price_Master!$A$2:$C$201, 3, FALSE), 0)</f>
        <v>0.15</v>
      </c>
      <c r="I8" s="19">
        <f t="shared" si="1"/>
        <v>1500</v>
      </c>
    </row>
    <row r="9" spans="1:12" ht="18.75" x14ac:dyDescent="0.3">
      <c r="A9" s="24">
        <v>46083</v>
      </c>
      <c r="B9" s="21"/>
      <c r="C9" s="21"/>
      <c r="D9" s="21"/>
      <c r="E9" s="21" t="s">
        <v>94</v>
      </c>
      <c r="F9" s="21" t="s">
        <v>11</v>
      </c>
      <c r="G9" s="12">
        <f>IFERROR(VLOOKUP(F9, Price_Master!$A$2:$C$201, 2, FALSE), "")</f>
        <v>36000</v>
      </c>
      <c r="H9" s="22">
        <f>IFERROR(VLOOKUP(F9, Price_Master!$A$2:$C$201, 3, FALSE), 0)</f>
        <v>0.15</v>
      </c>
      <c r="I9" s="12">
        <f t="shared" si="1"/>
        <v>5400</v>
      </c>
    </row>
    <row r="10" spans="1:12" ht="18.75" x14ac:dyDescent="0.3">
      <c r="A10" s="23">
        <v>46083</v>
      </c>
      <c r="B10" s="18"/>
      <c r="C10" s="18"/>
      <c r="D10" s="18"/>
      <c r="E10" s="18" t="s">
        <v>94</v>
      </c>
      <c r="F10" s="18" t="s">
        <v>80</v>
      </c>
      <c r="G10" s="19">
        <f>IFERROR(VLOOKUP(F10, Price_Master!$A$2:$C$201, 2, FALSE), "")</f>
        <v>40000</v>
      </c>
      <c r="H10" s="20">
        <f>IFERROR(VLOOKUP(F10, Price_Master!$A$2:$C$201, 3, FALSE), 0)</f>
        <v>0</v>
      </c>
      <c r="I10" s="19">
        <f t="shared" si="1"/>
        <v>0</v>
      </c>
    </row>
    <row r="11" spans="1:12" ht="18.75" x14ac:dyDescent="0.3">
      <c r="A11" s="24">
        <v>46083</v>
      </c>
      <c r="B11" s="21"/>
      <c r="C11" s="21"/>
      <c r="D11" s="21"/>
      <c r="E11" s="21" t="s">
        <v>94</v>
      </c>
      <c r="F11" s="21" t="s">
        <v>37</v>
      </c>
      <c r="G11" s="12">
        <f>IFERROR(VLOOKUP(F11, Price_Master!$A$2:$C$201, 2, FALSE), "")</f>
        <v>36000</v>
      </c>
      <c r="H11" s="22">
        <f>IFERROR(VLOOKUP(F11, Price_Master!$A$2:$C$201, 3, FALSE), 0)</f>
        <v>0.15</v>
      </c>
      <c r="I11" s="12">
        <f t="shared" si="1"/>
        <v>5400</v>
      </c>
    </row>
    <row r="12" spans="1:12" ht="18.75" x14ac:dyDescent="0.3">
      <c r="A12" s="23">
        <v>46083</v>
      </c>
      <c r="B12" s="18" t="s">
        <v>96</v>
      </c>
      <c r="C12" s="18" t="s">
        <v>97</v>
      </c>
      <c r="D12" s="18" t="s">
        <v>90</v>
      </c>
      <c r="E12" s="18" t="s">
        <v>94</v>
      </c>
      <c r="F12" s="18" t="s">
        <v>37</v>
      </c>
      <c r="G12" s="19">
        <f>IFERROR(VLOOKUP(F12, Price_Master!$A$2:$C$201, 2, FALSE), "")</f>
        <v>36000</v>
      </c>
      <c r="H12" s="20">
        <f>IFERROR(VLOOKUP(F12, Price_Master!$A$2:$C$201, 3, FALSE), 0)</f>
        <v>0.15</v>
      </c>
      <c r="I12" s="19">
        <f t="shared" si="1"/>
        <v>5400</v>
      </c>
    </row>
    <row r="13" spans="1:12" ht="18.75" x14ac:dyDescent="0.3">
      <c r="A13" s="24">
        <v>46084</v>
      </c>
      <c r="B13" s="21" t="s">
        <v>99</v>
      </c>
      <c r="C13" s="21" t="s">
        <v>100</v>
      </c>
      <c r="D13" s="21" t="s">
        <v>79</v>
      </c>
      <c r="E13" s="21" t="s">
        <v>84</v>
      </c>
      <c r="F13" s="21" t="s">
        <v>14</v>
      </c>
      <c r="G13" s="12">
        <f>IFERROR(VLOOKUP(F13, Price_Master!$A$2:$C$201, 2, FALSE), "")</f>
        <v>7000</v>
      </c>
      <c r="H13" s="22">
        <f>IFERROR(VLOOKUP(F13, Price_Master!$A$2:$C$201, 3, FALSE), 0)</f>
        <v>0.15</v>
      </c>
      <c r="I13" s="12">
        <f t="shared" ref="I13:I19" si="2">IFERROR(G13*H13, "")</f>
        <v>1050</v>
      </c>
    </row>
    <row r="14" spans="1:12" ht="18.75" x14ac:dyDescent="0.3">
      <c r="A14" s="23">
        <v>46084</v>
      </c>
      <c r="B14" s="18" t="s">
        <v>101</v>
      </c>
      <c r="C14" s="18" t="s">
        <v>102</v>
      </c>
      <c r="D14" s="18" t="s">
        <v>90</v>
      </c>
      <c r="E14" s="18" t="s">
        <v>84</v>
      </c>
      <c r="F14" s="18" t="s">
        <v>14</v>
      </c>
      <c r="G14" s="19">
        <f>IFERROR(VLOOKUP(F14, Price_Master!$A$2:$C$201, 2, FALSE), "")</f>
        <v>7000</v>
      </c>
      <c r="H14" s="20">
        <f>IFERROR(VLOOKUP(F14, Price_Master!$A$2:$C$201, 3, FALSE), 0)</f>
        <v>0.15</v>
      </c>
      <c r="I14" s="19">
        <f t="shared" si="2"/>
        <v>1050</v>
      </c>
    </row>
    <row r="15" spans="1:12" ht="18.75" x14ac:dyDescent="0.3">
      <c r="A15" s="24">
        <v>46084</v>
      </c>
      <c r="B15" s="21" t="s">
        <v>103</v>
      </c>
      <c r="C15" s="21" t="s">
        <v>104</v>
      </c>
      <c r="D15" s="21" t="s">
        <v>79</v>
      </c>
      <c r="E15" s="21" t="s">
        <v>84</v>
      </c>
      <c r="F15" s="21" t="s">
        <v>52</v>
      </c>
      <c r="G15" s="12">
        <f>IFERROR(VLOOKUP(F15, Price_Master!$A$2:$C$201, 2, FALSE), "")</f>
        <v>10000</v>
      </c>
      <c r="H15" s="22">
        <f>IFERROR(VLOOKUP(F15, Price_Master!$A$2:$C$201, 3, FALSE), 0)</f>
        <v>0.15</v>
      </c>
      <c r="I15" s="12">
        <f t="shared" si="2"/>
        <v>1500</v>
      </c>
    </row>
    <row r="16" spans="1:12" ht="18.75" x14ac:dyDescent="0.3">
      <c r="A16" s="23">
        <v>46084</v>
      </c>
      <c r="B16" s="18" t="s">
        <v>105</v>
      </c>
      <c r="C16" s="18" t="s">
        <v>106</v>
      </c>
      <c r="D16" s="18" t="s">
        <v>79</v>
      </c>
      <c r="E16" s="18" t="s">
        <v>84</v>
      </c>
      <c r="F16" s="18" t="s">
        <v>52</v>
      </c>
      <c r="G16" s="19">
        <f>IFERROR(VLOOKUP(F16, Price_Master!$A$2:$C$201, 2, FALSE), "")</f>
        <v>10000</v>
      </c>
      <c r="H16" s="20">
        <f>IFERROR(VLOOKUP(F16, Price_Master!$A$2:$C$201, 3, FALSE), 0)</f>
        <v>0.15</v>
      </c>
      <c r="I16" s="19">
        <f t="shared" si="2"/>
        <v>1500</v>
      </c>
    </row>
    <row r="17" spans="1:9" ht="18.75" x14ac:dyDescent="0.3">
      <c r="A17" s="24">
        <v>46084</v>
      </c>
      <c r="B17" s="21" t="s">
        <v>107</v>
      </c>
      <c r="C17" s="21" t="s">
        <v>108</v>
      </c>
      <c r="D17" s="21" t="s">
        <v>79</v>
      </c>
      <c r="E17" s="21" t="s">
        <v>109</v>
      </c>
      <c r="F17" s="21" t="s">
        <v>8</v>
      </c>
      <c r="G17" s="12">
        <f>IFERROR(VLOOKUP(F17, Price_Master!$A$2:$C$201, 2, FALSE), "")</f>
        <v>12000</v>
      </c>
      <c r="H17" s="22">
        <f>IFERROR(VLOOKUP(F17, Price_Master!$A$2:$C$201, 3, FALSE), 0)</f>
        <v>0.05</v>
      </c>
      <c r="I17" s="12">
        <f t="shared" si="2"/>
        <v>600</v>
      </c>
    </row>
    <row r="18" spans="1:9" ht="18.75" x14ac:dyDescent="0.3">
      <c r="A18" s="23">
        <v>46085</v>
      </c>
      <c r="B18" s="18" t="s">
        <v>110</v>
      </c>
      <c r="C18" s="18" t="s">
        <v>111</v>
      </c>
      <c r="D18" s="18" t="s">
        <v>79</v>
      </c>
      <c r="E18" s="18" t="s">
        <v>94</v>
      </c>
      <c r="F18" s="18" t="s">
        <v>95</v>
      </c>
      <c r="G18" s="19">
        <f>IFERROR(VLOOKUP(F18, Price_Master!$A$2:$C$201, 2, FALSE), "")</f>
        <v>30000</v>
      </c>
      <c r="H18" s="20">
        <f>IFERROR(VLOOKUP(F18, Price_Master!$A$2:$C$201, 3, FALSE), 0)</f>
        <v>0.15</v>
      </c>
      <c r="I18" s="19">
        <f t="shared" si="2"/>
        <v>4500</v>
      </c>
    </row>
    <row r="19" spans="1:9" ht="18.75" x14ac:dyDescent="0.3">
      <c r="A19" s="24">
        <v>46085</v>
      </c>
      <c r="B19" s="21"/>
      <c r="C19" s="21"/>
      <c r="D19" s="21"/>
      <c r="E19" s="21" t="s">
        <v>94</v>
      </c>
      <c r="F19" s="21" t="s">
        <v>11</v>
      </c>
      <c r="G19" s="12">
        <f>IFERROR(VLOOKUP(F19, Price_Master!$A$2:$C$201, 2, FALSE), "")</f>
        <v>36000</v>
      </c>
      <c r="H19" s="22">
        <f>IFERROR(VLOOKUP(F19, Price_Master!$A$2:$C$201, 3, FALSE), 0)</f>
        <v>0.15</v>
      </c>
      <c r="I19" s="12">
        <f t="shared" si="2"/>
        <v>5400</v>
      </c>
    </row>
    <row r="20" spans="1:9" ht="18.75" x14ac:dyDescent="0.3">
      <c r="A20" s="23">
        <v>46085</v>
      </c>
      <c r="B20" s="18" t="s">
        <v>112</v>
      </c>
      <c r="C20" s="18" t="s">
        <v>113</v>
      </c>
      <c r="D20" s="18" t="s">
        <v>90</v>
      </c>
      <c r="E20" s="18" t="s">
        <v>114</v>
      </c>
      <c r="F20" s="18" t="s">
        <v>7</v>
      </c>
      <c r="G20" s="19">
        <f>IFERROR(VLOOKUP(F20, Price_Master!$A$2:$C$201, 2, FALSE), "")</f>
        <v>30000</v>
      </c>
      <c r="H20" s="20">
        <f>IFERROR(VLOOKUP(F20, Price_Master!$A$2:$C$201, 3, FALSE), 0)</f>
        <v>0.15</v>
      </c>
      <c r="I20" s="19">
        <f t="shared" ref="I20:I28" si="3">IFERROR(G20*H20, "")</f>
        <v>4500</v>
      </c>
    </row>
    <row r="21" spans="1:9" ht="18.75" x14ac:dyDescent="0.3">
      <c r="A21" s="24">
        <v>46085</v>
      </c>
      <c r="B21" s="21"/>
      <c r="C21" s="21"/>
      <c r="D21" s="21"/>
      <c r="E21" s="21" t="s">
        <v>114</v>
      </c>
      <c r="F21" s="21" t="s">
        <v>60</v>
      </c>
      <c r="G21" s="12">
        <f>IFERROR(VLOOKUP(F21, Price_Master!$A$2:$C$201, 2, FALSE), "")</f>
        <v>25000</v>
      </c>
      <c r="H21" s="22">
        <f>IFERROR(VLOOKUP(F21, Price_Master!$A$2:$C$201, 3, FALSE), 0)</f>
        <v>0.05</v>
      </c>
      <c r="I21" s="12">
        <f t="shared" si="3"/>
        <v>1250</v>
      </c>
    </row>
    <row r="22" spans="1:9" ht="18.75" x14ac:dyDescent="0.3">
      <c r="A22" s="23">
        <v>46086</v>
      </c>
      <c r="B22" s="18" t="s">
        <v>115</v>
      </c>
      <c r="C22" s="18" t="s">
        <v>116</v>
      </c>
      <c r="D22" s="18" t="s">
        <v>79</v>
      </c>
      <c r="E22" s="18" t="s">
        <v>84</v>
      </c>
      <c r="F22" s="18" t="s">
        <v>14</v>
      </c>
      <c r="G22" s="19">
        <f>IFERROR(VLOOKUP(F22, Price_Master!$A$2:$C$201, 2, FALSE), "")</f>
        <v>7000</v>
      </c>
      <c r="H22" s="20">
        <f>IFERROR(VLOOKUP(F22, Price_Master!$A$2:$C$201, 3, FALSE), 0)</f>
        <v>0.15</v>
      </c>
      <c r="I22" s="19">
        <f t="shared" si="3"/>
        <v>1050</v>
      </c>
    </row>
    <row r="23" spans="1:9" ht="18.75" x14ac:dyDescent="0.3">
      <c r="A23" s="24">
        <v>46087</v>
      </c>
      <c r="B23" s="21" t="s">
        <v>117</v>
      </c>
      <c r="C23" s="21" t="s">
        <v>118</v>
      </c>
      <c r="D23" s="21" t="s">
        <v>90</v>
      </c>
      <c r="E23" s="21" t="s">
        <v>94</v>
      </c>
      <c r="F23" s="21" t="s">
        <v>11</v>
      </c>
      <c r="G23" s="12">
        <f>IFERROR(VLOOKUP(F23, Price_Master!$A$2:$C$201, 2, FALSE), "")</f>
        <v>36000</v>
      </c>
      <c r="H23" s="22">
        <f>IFERROR(VLOOKUP(F23, Price_Master!$A$2:$C$201, 3, FALSE), 0)</f>
        <v>0.15</v>
      </c>
      <c r="I23" s="12">
        <f t="shared" si="3"/>
        <v>5400</v>
      </c>
    </row>
    <row r="24" spans="1:9" ht="18.75" x14ac:dyDescent="0.3">
      <c r="A24" s="23">
        <v>46088</v>
      </c>
      <c r="B24" s="18" t="s">
        <v>119</v>
      </c>
      <c r="C24" s="18" t="s">
        <v>120</v>
      </c>
      <c r="D24" s="18" t="s">
        <v>79</v>
      </c>
      <c r="E24" s="18" t="s">
        <v>91</v>
      </c>
      <c r="F24" s="18" t="s">
        <v>82</v>
      </c>
      <c r="G24" s="19">
        <f>IFERROR(VLOOKUP(F24, Price_Master!$A$2:$C$201, 2, FALSE), "")</f>
        <v>12000</v>
      </c>
      <c r="H24" s="20">
        <f>IFERROR(VLOOKUP(F24, Price_Master!$A$2:$C$201, 3, FALSE), 0)</f>
        <v>0.05</v>
      </c>
      <c r="I24" s="19">
        <f t="shared" si="3"/>
        <v>600</v>
      </c>
    </row>
    <row r="25" spans="1:9" ht="18.75" x14ac:dyDescent="0.3">
      <c r="A25" s="24">
        <v>46088</v>
      </c>
      <c r="B25" s="21"/>
      <c r="C25" s="21"/>
      <c r="D25" s="21"/>
      <c r="E25" s="21" t="s">
        <v>91</v>
      </c>
      <c r="F25" s="21" t="s">
        <v>121</v>
      </c>
      <c r="G25" s="12">
        <f>IFERROR(VLOOKUP(F25, Price_Master!$A$2:$C$201, 2, FALSE), "")</f>
        <v>25000</v>
      </c>
      <c r="H25" s="22">
        <f>IFERROR(VLOOKUP(F25, Price_Master!$A$2:$C$201, 3, FALSE), 0)</f>
        <v>0.05</v>
      </c>
      <c r="I25" s="12">
        <f t="shared" si="3"/>
        <v>1250</v>
      </c>
    </row>
    <row r="26" spans="1:9" ht="18.75" x14ac:dyDescent="0.3">
      <c r="A26" s="23">
        <v>46088</v>
      </c>
      <c r="B26" s="18"/>
      <c r="C26" s="18"/>
      <c r="D26" s="18"/>
      <c r="E26" s="18" t="s">
        <v>91</v>
      </c>
      <c r="F26" s="18" t="s">
        <v>49</v>
      </c>
      <c r="G26" s="19">
        <f>IFERROR(VLOOKUP(F26, Price_Master!$A$2:$C$201, 2, FALSE), "")</f>
        <v>10000</v>
      </c>
      <c r="H26" s="20">
        <f>IFERROR(VLOOKUP(F26, Price_Master!$A$2:$C$201, 3, FALSE), 0)</f>
        <v>0.15</v>
      </c>
      <c r="I26" s="19">
        <f t="shared" si="3"/>
        <v>1500</v>
      </c>
    </row>
    <row r="27" spans="1:9" ht="18.75" x14ac:dyDescent="0.3">
      <c r="A27" s="24">
        <v>46088</v>
      </c>
      <c r="B27" s="21"/>
      <c r="C27" s="21"/>
      <c r="D27" s="21"/>
      <c r="E27" s="21" t="s">
        <v>91</v>
      </c>
      <c r="F27" s="21" t="s">
        <v>37</v>
      </c>
      <c r="G27" s="12">
        <f>IFERROR(VLOOKUP(F27, Price_Master!$A$2:$C$201, 2, FALSE), "")</f>
        <v>36000</v>
      </c>
      <c r="H27" s="22">
        <f>IFERROR(VLOOKUP(F27, Price_Master!$A$2:$C$201, 3, FALSE), 0)</f>
        <v>0.15</v>
      </c>
      <c r="I27" s="12">
        <f t="shared" si="3"/>
        <v>5400</v>
      </c>
    </row>
    <row r="28" spans="1:9" ht="18.75" x14ac:dyDescent="0.3">
      <c r="A28" s="23">
        <v>46088</v>
      </c>
      <c r="B28" s="18"/>
      <c r="C28" s="18"/>
      <c r="D28" s="18"/>
      <c r="E28" s="18" t="s">
        <v>91</v>
      </c>
      <c r="F28" s="18" t="s">
        <v>11</v>
      </c>
      <c r="G28" s="19">
        <f>IFERROR(VLOOKUP(F28, Price_Master!$A$2:$C$201, 2, FALSE), "")</f>
        <v>36000</v>
      </c>
      <c r="H28" s="20">
        <f>IFERROR(VLOOKUP(F28, Price_Master!$A$2:$C$201, 3, FALSE), 0)</f>
        <v>0.15</v>
      </c>
      <c r="I28" s="19">
        <f t="shared" si="3"/>
        <v>5400</v>
      </c>
    </row>
    <row r="29" spans="1:9" ht="18.75" x14ac:dyDescent="0.3">
      <c r="A29" s="24">
        <v>46089</v>
      </c>
      <c r="B29" s="21" t="s">
        <v>122</v>
      </c>
      <c r="C29" s="21" t="s">
        <v>123</v>
      </c>
      <c r="D29" s="21" t="s">
        <v>90</v>
      </c>
      <c r="E29" s="21" t="s">
        <v>94</v>
      </c>
      <c r="F29" s="21" t="s">
        <v>7</v>
      </c>
      <c r="G29" s="12">
        <f>IFERROR(VLOOKUP(F29, Price_Master!$A$2:$C$201, 2, FALSE), "")</f>
        <v>30000</v>
      </c>
      <c r="H29" s="22">
        <f>IFERROR(VLOOKUP(F29, Price_Master!$A$2:$C$201, 3, FALSE), 0)</f>
        <v>0.15</v>
      </c>
      <c r="I29" s="12">
        <f t="shared" ref="I29:I41" si="4">IFERROR(G29*H29, "")</f>
        <v>4500</v>
      </c>
    </row>
    <row r="30" spans="1:9" ht="18.75" x14ac:dyDescent="0.3">
      <c r="A30" s="23">
        <v>46089</v>
      </c>
      <c r="B30" s="18"/>
      <c r="C30" s="18"/>
      <c r="D30" s="18"/>
      <c r="E30" s="18" t="s">
        <v>94</v>
      </c>
      <c r="F30" s="18" t="s">
        <v>47</v>
      </c>
      <c r="G30" s="19">
        <f>IFERROR(VLOOKUP(F30, Price_Master!$A$2:$C$201, 2, FALSE), "")</f>
        <v>30000</v>
      </c>
      <c r="H30" s="20">
        <f>IFERROR(VLOOKUP(F30, Price_Master!$A$2:$C$201, 3, FALSE), 0)</f>
        <v>0.05</v>
      </c>
      <c r="I30" s="19">
        <f t="shared" si="4"/>
        <v>1500</v>
      </c>
    </row>
    <row r="31" spans="1:9" ht="18.75" x14ac:dyDescent="0.3">
      <c r="A31" s="24">
        <v>46089</v>
      </c>
      <c r="B31" s="21"/>
      <c r="C31" s="21"/>
      <c r="D31" s="21"/>
      <c r="E31" s="21" t="s">
        <v>94</v>
      </c>
      <c r="F31" s="21" t="s">
        <v>57</v>
      </c>
      <c r="G31" s="12">
        <f>IFERROR(VLOOKUP(F31, Price_Master!$A$2:$C$201, 2, FALSE), "")</f>
        <v>10000</v>
      </c>
      <c r="H31" s="22">
        <f>IFERROR(VLOOKUP(F31, Price_Master!$A$2:$C$201, 3, FALSE), 0)</f>
        <v>0.05</v>
      </c>
      <c r="I31" s="12">
        <f t="shared" si="4"/>
        <v>500</v>
      </c>
    </row>
    <row r="32" spans="1:9" ht="18.75" x14ac:dyDescent="0.3">
      <c r="A32" s="23">
        <v>46089</v>
      </c>
      <c r="B32" s="18"/>
      <c r="C32" s="18"/>
      <c r="D32" s="18"/>
      <c r="E32" s="18" t="s">
        <v>94</v>
      </c>
      <c r="F32" s="18" t="s">
        <v>18</v>
      </c>
      <c r="G32" s="19">
        <f>IFERROR(VLOOKUP(F32, Price_Master!$A$2:$C$201, 2, FALSE), "")</f>
        <v>25000</v>
      </c>
      <c r="H32" s="20">
        <f>IFERROR(VLOOKUP(F32, Price_Master!$A$2:$C$201, 3, FALSE), 0)</f>
        <v>0.05</v>
      </c>
      <c r="I32" s="19">
        <f t="shared" si="4"/>
        <v>1250</v>
      </c>
    </row>
    <row r="33" spans="1:9" ht="18.75" x14ac:dyDescent="0.3">
      <c r="A33" s="24">
        <v>46089</v>
      </c>
      <c r="B33" s="21" t="s">
        <v>124</v>
      </c>
      <c r="C33" s="21" t="s">
        <v>106</v>
      </c>
      <c r="D33" s="21" t="s">
        <v>79</v>
      </c>
      <c r="E33" s="21" t="s">
        <v>94</v>
      </c>
      <c r="F33" s="21" t="s">
        <v>7</v>
      </c>
      <c r="G33" s="12">
        <f>IFERROR(VLOOKUP(F33, Price_Master!$A$2:$C$201, 2, FALSE), "")</f>
        <v>30000</v>
      </c>
      <c r="H33" s="22">
        <f>IFERROR(VLOOKUP(F33, Price_Master!$A$2:$C$201, 3, FALSE), 0)</f>
        <v>0.15</v>
      </c>
      <c r="I33" s="12">
        <f t="shared" si="4"/>
        <v>4500</v>
      </c>
    </row>
    <row r="34" spans="1:9" ht="18.75" x14ac:dyDescent="0.3">
      <c r="A34" s="23">
        <v>46089</v>
      </c>
      <c r="B34" s="18"/>
      <c r="C34" s="18"/>
      <c r="D34" s="18"/>
      <c r="E34" s="18" t="s">
        <v>94</v>
      </c>
      <c r="F34" s="18" t="s">
        <v>8</v>
      </c>
      <c r="G34" s="19">
        <f>IFERROR(VLOOKUP(F34, Price_Master!$A$2:$C$201, 2, FALSE), "")</f>
        <v>12000</v>
      </c>
      <c r="H34" s="20">
        <f>IFERROR(VLOOKUP(F34, Price_Master!$A$2:$C$201, 3, FALSE), 0)</f>
        <v>0.05</v>
      </c>
      <c r="I34" s="19">
        <f t="shared" si="4"/>
        <v>600</v>
      </c>
    </row>
    <row r="35" spans="1:9" ht="18.75" x14ac:dyDescent="0.3">
      <c r="A35" s="24">
        <v>46089</v>
      </c>
      <c r="B35" s="21"/>
      <c r="C35" s="21"/>
      <c r="D35" s="21"/>
      <c r="E35" s="21" t="s">
        <v>94</v>
      </c>
      <c r="F35" s="21" t="s">
        <v>121</v>
      </c>
      <c r="G35" s="12">
        <f>IFERROR(VLOOKUP(F35, Price_Master!$A$2:$C$201, 2, FALSE), "")</f>
        <v>25000</v>
      </c>
      <c r="H35" s="22">
        <f>IFERROR(VLOOKUP(F35, Price_Master!$A$2:$C$201, 3, FALSE), 0)</f>
        <v>0.05</v>
      </c>
      <c r="I35" s="12">
        <f t="shared" si="4"/>
        <v>1250</v>
      </c>
    </row>
    <row r="36" spans="1:9" ht="18.75" x14ac:dyDescent="0.3">
      <c r="A36" s="23">
        <v>46089</v>
      </c>
      <c r="B36" s="18"/>
      <c r="C36" s="18"/>
      <c r="D36" s="18"/>
      <c r="E36" s="18" t="s">
        <v>94</v>
      </c>
      <c r="F36" s="18" t="s">
        <v>95</v>
      </c>
      <c r="G36" s="19">
        <f>IFERROR(VLOOKUP(F36, Price_Master!$A$2:$C$201, 2, FALSE), "")</f>
        <v>30000</v>
      </c>
      <c r="H36" s="20">
        <f>IFERROR(VLOOKUP(F36, Price_Master!$A$2:$C$201, 3, FALSE), 0)</f>
        <v>0.15</v>
      </c>
      <c r="I36" s="19">
        <f t="shared" si="4"/>
        <v>4500</v>
      </c>
    </row>
    <row r="37" spans="1:9" ht="18.75" x14ac:dyDescent="0.3">
      <c r="A37" s="24">
        <v>46089</v>
      </c>
      <c r="B37" s="21"/>
      <c r="C37" s="21"/>
      <c r="D37" s="21"/>
      <c r="E37" s="21" t="s">
        <v>94</v>
      </c>
      <c r="F37" s="21" t="s">
        <v>49</v>
      </c>
      <c r="G37" s="12">
        <f>IFERROR(VLOOKUP(F37, Price_Master!$A$2:$C$201, 2, FALSE), "")</f>
        <v>10000</v>
      </c>
      <c r="H37" s="22">
        <f>IFERROR(VLOOKUP(F37, Price_Master!$A$2:$C$201, 3, FALSE), 0)</f>
        <v>0.15</v>
      </c>
      <c r="I37" s="12">
        <f t="shared" si="4"/>
        <v>1500</v>
      </c>
    </row>
    <row r="38" spans="1:9" ht="18.75" x14ac:dyDescent="0.3">
      <c r="A38" s="23">
        <v>46089</v>
      </c>
      <c r="B38" s="18"/>
      <c r="C38" s="18"/>
      <c r="D38" s="18"/>
      <c r="E38" s="18" t="s">
        <v>94</v>
      </c>
      <c r="F38" s="18" t="s">
        <v>11</v>
      </c>
      <c r="G38" s="19">
        <f>IFERROR(VLOOKUP(F38, Price_Master!$A$2:$C$201, 2, FALSE), "")</f>
        <v>36000</v>
      </c>
      <c r="H38" s="20">
        <f>IFERROR(VLOOKUP(F38, Price_Master!$A$2:$C$201, 3, FALSE), 0)</f>
        <v>0.15</v>
      </c>
      <c r="I38" s="19">
        <f t="shared" si="4"/>
        <v>5400</v>
      </c>
    </row>
    <row r="39" spans="1:9" ht="18.75" x14ac:dyDescent="0.3">
      <c r="A39" s="24">
        <v>46089</v>
      </c>
      <c r="B39" s="21" t="s">
        <v>125</v>
      </c>
      <c r="C39" s="21" t="s">
        <v>126</v>
      </c>
      <c r="D39" s="21" t="s">
        <v>90</v>
      </c>
      <c r="E39" s="21" t="s">
        <v>88</v>
      </c>
      <c r="F39" s="21" t="s">
        <v>24</v>
      </c>
      <c r="G39" s="12">
        <f>IFERROR(VLOOKUP(F39, Price_Master!$A$2:$C$201, 2, FALSE), "")</f>
        <v>7000</v>
      </c>
      <c r="H39" s="22">
        <f>IFERROR(VLOOKUP(F39, Price_Master!$A$2:$C$201, 3, FALSE), 0)</f>
        <v>0.05</v>
      </c>
      <c r="I39" s="12">
        <f t="shared" si="4"/>
        <v>350</v>
      </c>
    </row>
    <row r="40" spans="1:9" ht="18.75" x14ac:dyDescent="0.3">
      <c r="A40" s="23">
        <v>46089</v>
      </c>
      <c r="B40" s="18" t="s">
        <v>127</v>
      </c>
      <c r="C40" s="18" t="s">
        <v>128</v>
      </c>
      <c r="D40" s="18" t="s">
        <v>90</v>
      </c>
      <c r="E40" s="18" t="s">
        <v>91</v>
      </c>
      <c r="F40" s="18" t="s">
        <v>82</v>
      </c>
      <c r="G40" s="19">
        <f>IFERROR(VLOOKUP(F40, Price_Master!$A$2:$C$201, 2, FALSE), "")</f>
        <v>12000</v>
      </c>
      <c r="H40" s="20">
        <f>IFERROR(VLOOKUP(F40, Price_Master!$A$2:$C$201, 3, FALSE), 0)</f>
        <v>0.05</v>
      </c>
      <c r="I40" s="19">
        <f t="shared" si="4"/>
        <v>600</v>
      </c>
    </row>
    <row r="41" spans="1:9" ht="18.75" x14ac:dyDescent="0.3">
      <c r="A41" s="24">
        <v>46089</v>
      </c>
      <c r="B41" s="21"/>
      <c r="C41" s="21"/>
      <c r="D41" s="21"/>
      <c r="E41" s="21" t="s">
        <v>91</v>
      </c>
      <c r="F41" s="21" t="s">
        <v>49</v>
      </c>
      <c r="G41" s="12">
        <f>IFERROR(VLOOKUP(F41, Price_Master!$A$2:$C$201, 2, FALSE), "")</f>
        <v>10000</v>
      </c>
      <c r="H41" s="22">
        <f>IFERROR(VLOOKUP(F41, Price_Master!$A$2:$C$201, 3, FALSE), 0)</f>
        <v>0.15</v>
      </c>
      <c r="I41" s="12">
        <f t="shared" si="4"/>
        <v>1500</v>
      </c>
    </row>
    <row r="42" spans="1:9" ht="18.75" x14ac:dyDescent="0.3">
      <c r="A42" s="23">
        <v>46090</v>
      </c>
      <c r="B42" s="18" t="s">
        <v>129</v>
      </c>
      <c r="C42" s="18" t="s">
        <v>104</v>
      </c>
      <c r="D42" s="18" t="s">
        <v>79</v>
      </c>
      <c r="E42" s="18" t="s">
        <v>84</v>
      </c>
      <c r="F42" s="18" t="s">
        <v>50</v>
      </c>
      <c r="G42" s="19">
        <f>IFERROR(VLOOKUP(F42, Price_Master!$A$2:$C$201, 2, FALSE), "")</f>
        <v>7000</v>
      </c>
      <c r="H42" s="20">
        <f>IFERROR(VLOOKUP(F42, Price_Master!$A$2:$C$201, 3, FALSE), 0)</f>
        <v>0.05</v>
      </c>
      <c r="I42" s="19">
        <f t="shared" ref="I42:I59" si="5">IFERROR(G42*H42, "")</f>
        <v>350</v>
      </c>
    </row>
    <row r="43" spans="1:9" ht="18.75" x14ac:dyDescent="0.3">
      <c r="A43" s="24">
        <v>46090</v>
      </c>
      <c r="B43" s="21"/>
      <c r="C43" s="21"/>
      <c r="D43" s="21"/>
      <c r="E43" s="21" t="s">
        <v>84</v>
      </c>
      <c r="F43" s="21" t="s">
        <v>22</v>
      </c>
      <c r="G43" s="12">
        <f>IFERROR(VLOOKUP(F43, Price_Master!$A$2:$C$201, 2, FALSE), "")</f>
        <v>7000</v>
      </c>
      <c r="H43" s="22">
        <f>IFERROR(VLOOKUP(F43, Price_Master!$A$2:$C$201, 3, FALSE), 0)</f>
        <v>0.05</v>
      </c>
      <c r="I43" s="12">
        <f t="shared" si="5"/>
        <v>350</v>
      </c>
    </row>
    <row r="44" spans="1:9" ht="18.75" x14ac:dyDescent="0.3">
      <c r="A44" s="23">
        <v>46090</v>
      </c>
      <c r="B44" s="18"/>
      <c r="C44" s="18"/>
      <c r="D44" s="18"/>
      <c r="E44" s="18" t="s">
        <v>84</v>
      </c>
      <c r="F44" s="18" t="s">
        <v>21</v>
      </c>
      <c r="G44" s="19">
        <f>IFERROR(VLOOKUP(F44, Price_Master!$A$2:$C$201, 2, FALSE), "")</f>
        <v>10000</v>
      </c>
      <c r="H44" s="20">
        <f>IFERROR(VLOOKUP(F44, Price_Master!$A$2:$C$201, 3, FALSE), 0)</f>
        <v>0.05</v>
      </c>
      <c r="I44" s="19">
        <f t="shared" si="5"/>
        <v>500</v>
      </c>
    </row>
    <row r="45" spans="1:9" ht="18.75" x14ac:dyDescent="0.3">
      <c r="A45" s="24">
        <v>46090</v>
      </c>
      <c r="B45" s="21"/>
      <c r="C45" s="21"/>
      <c r="D45" s="21"/>
      <c r="E45" s="21" t="s">
        <v>84</v>
      </c>
      <c r="F45" s="21" t="s">
        <v>24</v>
      </c>
      <c r="G45" s="12">
        <f>IFERROR(VLOOKUP(F45, Price_Master!$A$2:$C$201, 2, FALSE), "")</f>
        <v>7000</v>
      </c>
      <c r="H45" s="22">
        <f>IFERROR(VLOOKUP(F45, Price_Master!$A$2:$C$201, 3, FALSE), 0)</f>
        <v>0.05</v>
      </c>
      <c r="I45" s="12">
        <f t="shared" si="5"/>
        <v>350</v>
      </c>
    </row>
    <row r="46" spans="1:9" ht="18.75" x14ac:dyDescent="0.3">
      <c r="A46" s="23">
        <v>46091</v>
      </c>
      <c r="B46" s="18" t="s">
        <v>130</v>
      </c>
      <c r="C46" s="18" t="s">
        <v>131</v>
      </c>
      <c r="D46" s="18" t="s">
        <v>79</v>
      </c>
      <c r="E46" s="18" t="s">
        <v>84</v>
      </c>
      <c r="F46" s="18" t="s">
        <v>14</v>
      </c>
      <c r="G46" s="19">
        <f>IFERROR(VLOOKUP(F46, Price_Master!$A$2:$C$201, 2, FALSE), "")</f>
        <v>7000</v>
      </c>
      <c r="H46" s="20">
        <f>IFERROR(VLOOKUP(F46, Price_Master!$A$2:$C$201, 3, FALSE), 0)</f>
        <v>0.15</v>
      </c>
      <c r="I46" s="19">
        <f t="shared" si="5"/>
        <v>1050</v>
      </c>
    </row>
    <row r="47" spans="1:9" ht="18.75" x14ac:dyDescent="0.3">
      <c r="A47" s="24">
        <v>46091</v>
      </c>
      <c r="B47" s="21" t="s">
        <v>132</v>
      </c>
      <c r="C47" s="21" t="s">
        <v>133</v>
      </c>
      <c r="D47" s="21" t="s">
        <v>90</v>
      </c>
      <c r="E47" s="21" t="s">
        <v>84</v>
      </c>
      <c r="F47" s="21" t="s">
        <v>14</v>
      </c>
      <c r="G47" s="12">
        <f>IFERROR(VLOOKUP(F47, Price_Master!$A$2:$C$201, 2, FALSE), "")</f>
        <v>7000</v>
      </c>
      <c r="H47" s="22">
        <f>IFERROR(VLOOKUP(F47, Price_Master!$A$2:$C$201, 3, FALSE), 0)</f>
        <v>0.15</v>
      </c>
      <c r="I47" s="12">
        <f t="shared" si="5"/>
        <v>1050</v>
      </c>
    </row>
    <row r="48" spans="1:9" ht="18.75" x14ac:dyDescent="0.3">
      <c r="A48" s="23">
        <v>46091</v>
      </c>
      <c r="B48" s="18" t="s">
        <v>134</v>
      </c>
      <c r="C48" s="18" t="s">
        <v>135</v>
      </c>
      <c r="D48" s="18" t="s">
        <v>90</v>
      </c>
      <c r="E48" s="18" t="s">
        <v>91</v>
      </c>
      <c r="F48" s="18" t="s">
        <v>121</v>
      </c>
      <c r="G48" s="19">
        <f>IFERROR(VLOOKUP(F48, Price_Master!$A$2:$C$201, 2, FALSE), "")</f>
        <v>25000</v>
      </c>
      <c r="H48" s="20">
        <f>IFERROR(VLOOKUP(F48, Price_Master!$A$2:$C$201, 3, FALSE), 0)</f>
        <v>0.05</v>
      </c>
      <c r="I48" s="19">
        <f t="shared" si="5"/>
        <v>1250</v>
      </c>
    </row>
    <row r="49" spans="1:9" ht="18.75" x14ac:dyDescent="0.3">
      <c r="A49" s="24">
        <v>46091</v>
      </c>
      <c r="B49" s="21" t="s">
        <v>136</v>
      </c>
      <c r="C49" s="21" t="s">
        <v>137</v>
      </c>
      <c r="D49" s="21" t="s">
        <v>90</v>
      </c>
      <c r="E49" s="21" t="s">
        <v>114</v>
      </c>
      <c r="F49" s="21" t="s">
        <v>7</v>
      </c>
      <c r="G49" s="12">
        <f>IFERROR(VLOOKUP(F49, Price_Master!$A$2:$C$201, 2, FALSE), "")</f>
        <v>30000</v>
      </c>
      <c r="H49" s="22">
        <f>IFERROR(VLOOKUP(F49, Price_Master!$A$2:$C$201, 3, FALSE), 0)</f>
        <v>0.15</v>
      </c>
      <c r="I49" s="12">
        <f t="shared" si="5"/>
        <v>4500</v>
      </c>
    </row>
    <row r="50" spans="1:9" ht="18.75" x14ac:dyDescent="0.3">
      <c r="A50" s="23">
        <v>46091</v>
      </c>
      <c r="B50" s="18" t="s">
        <v>138</v>
      </c>
      <c r="C50" s="18" t="s">
        <v>139</v>
      </c>
      <c r="D50" s="18" t="s">
        <v>79</v>
      </c>
      <c r="E50" s="18" t="s">
        <v>114</v>
      </c>
      <c r="F50" s="18" t="s">
        <v>7</v>
      </c>
      <c r="G50" s="19">
        <f>IFERROR(VLOOKUP(F50, Price_Master!$A$2:$C$201, 2, FALSE), "")</f>
        <v>30000</v>
      </c>
      <c r="H50" s="20">
        <f>IFERROR(VLOOKUP(F50, Price_Master!$A$2:$C$201, 3, FALSE), 0)</f>
        <v>0.15</v>
      </c>
      <c r="I50" s="19">
        <f t="shared" si="5"/>
        <v>4500</v>
      </c>
    </row>
    <row r="51" spans="1:9" ht="18.75" x14ac:dyDescent="0.3">
      <c r="A51" s="24">
        <v>46091</v>
      </c>
      <c r="B51" s="21"/>
      <c r="C51" s="21"/>
      <c r="D51" s="21"/>
      <c r="E51" s="21" t="s">
        <v>114</v>
      </c>
      <c r="F51" s="21" t="s">
        <v>57</v>
      </c>
      <c r="G51" s="12">
        <f>IFERROR(VLOOKUP(F51, Price_Master!$A$2:$C$201, 2, FALSE), "")</f>
        <v>10000</v>
      </c>
      <c r="H51" s="22">
        <f>IFERROR(VLOOKUP(F51, Price_Master!$A$2:$C$201, 3, FALSE), 0)</f>
        <v>0.05</v>
      </c>
      <c r="I51" s="12">
        <f t="shared" si="5"/>
        <v>500</v>
      </c>
    </row>
    <row r="52" spans="1:9" ht="18.75" x14ac:dyDescent="0.3">
      <c r="A52" s="23">
        <v>46091</v>
      </c>
      <c r="B52" s="18"/>
      <c r="C52" s="18"/>
      <c r="D52" s="18"/>
      <c r="E52" s="18" t="s">
        <v>114</v>
      </c>
      <c r="F52" s="18" t="s">
        <v>18</v>
      </c>
      <c r="G52" s="19">
        <f>IFERROR(VLOOKUP(F52, Price_Master!$A$2:$C$201, 2, FALSE), "")</f>
        <v>25000</v>
      </c>
      <c r="H52" s="20">
        <f>IFERROR(VLOOKUP(F52, Price_Master!$A$2:$C$201, 3, FALSE), 0)</f>
        <v>0.05</v>
      </c>
      <c r="I52" s="19">
        <f t="shared" si="5"/>
        <v>1250</v>
      </c>
    </row>
    <row r="53" spans="1:9" ht="18.75" x14ac:dyDescent="0.3">
      <c r="A53" s="24">
        <v>46091</v>
      </c>
      <c r="B53" s="21"/>
      <c r="C53" s="21"/>
      <c r="D53" s="21"/>
      <c r="E53" s="21" t="s">
        <v>114</v>
      </c>
      <c r="F53" s="21" t="s">
        <v>60</v>
      </c>
      <c r="G53" s="12">
        <f>IFERROR(VLOOKUP(F53, Price_Master!$A$2:$C$201, 2, FALSE), "")</f>
        <v>25000</v>
      </c>
      <c r="H53" s="22">
        <f>IFERROR(VLOOKUP(F53, Price_Master!$A$2:$C$201, 3, FALSE), 0)</f>
        <v>0.05</v>
      </c>
      <c r="I53" s="12">
        <f t="shared" si="5"/>
        <v>1250</v>
      </c>
    </row>
    <row r="54" spans="1:9" ht="18.75" x14ac:dyDescent="0.3">
      <c r="A54" s="23">
        <v>46091</v>
      </c>
      <c r="B54" s="18"/>
      <c r="C54" s="18"/>
      <c r="D54" s="18"/>
      <c r="E54" s="18" t="s">
        <v>114</v>
      </c>
      <c r="F54" s="18" t="s">
        <v>95</v>
      </c>
      <c r="G54" s="19">
        <f>IFERROR(VLOOKUP(F54, Price_Master!$A$2:$C$201, 2, FALSE), "")</f>
        <v>30000</v>
      </c>
      <c r="H54" s="20">
        <f>IFERROR(VLOOKUP(F54, Price_Master!$A$2:$C$201, 3, FALSE), 0)</f>
        <v>0.15</v>
      </c>
      <c r="I54" s="19">
        <f t="shared" si="5"/>
        <v>4500</v>
      </c>
    </row>
    <row r="55" spans="1:9" ht="18.75" x14ac:dyDescent="0.3">
      <c r="A55" s="24">
        <v>46091</v>
      </c>
      <c r="B55" s="21" t="s">
        <v>140</v>
      </c>
      <c r="C55" s="21" t="s">
        <v>141</v>
      </c>
      <c r="D55" s="21" t="s">
        <v>90</v>
      </c>
      <c r="E55" s="21" t="s">
        <v>142</v>
      </c>
      <c r="F55" s="21" t="s">
        <v>11</v>
      </c>
      <c r="G55" s="12">
        <f>IFERROR(VLOOKUP(F55, Price_Master!$A$2:$C$201, 2, FALSE), "")</f>
        <v>36000</v>
      </c>
      <c r="H55" s="22">
        <f>IFERROR(VLOOKUP(F55, Price_Master!$A$2:$C$201, 3, FALSE), 0)</f>
        <v>0.15</v>
      </c>
      <c r="I55" s="12">
        <f t="shared" si="5"/>
        <v>5400</v>
      </c>
    </row>
    <row r="56" spans="1:9" ht="18.75" x14ac:dyDescent="0.3">
      <c r="A56" s="23">
        <v>46091</v>
      </c>
      <c r="B56" s="18"/>
      <c r="C56" s="18"/>
      <c r="D56" s="18"/>
      <c r="E56" s="18" t="s">
        <v>142</v>
      </c>
      <c r="F56" s="18" t="s">
        <v>37</v>
      </c>
      <c r="G56" s="19">
        <f>IFERROR(VLOOKUP(F56, Price_Master!$A$2:$C$201, 2, FALSE), "")</f>
        <v>36000</v>
      </c>
      <c r="H56" s="20">
        <f>IFERROR(VLOOKUP(F56, Price_Master!$A$2:$C$201, 3, FALSE), 0)</f>
        <v>0.15</v>
      </c>
      <c r="I56" s="19">
        <f t="shared" si="5"/>
        <v>5400</v>
      </c>
    </row>
    <row r="57" spans="1:9" ht="18.75" x14ac:dyDescent="0.3">
      <c r="A57" s="24">
        <v>46091</v>
      </c>
      <c r="B57" s="21"/>
      <c r="C57" s="21"/>
      <c r="D57" s="21"/>
      <c r="E57" s="21" t="s">
        <v>142</v>
      </c>
      <c r="F57" s="21" t="s">
        <v>50</v>
      </c>
      <c r="G57" s="12">
        <f>IFERROR(VLOOKUP(F57, Price_Master!$A$2:$C$201, 2, FALSE), "")</f>
        <v>7000</v>
      </c>
      <c r="H57" s="22">
        <f>IFERROR(VLOOKUP(F57, Price_Master!$A$2:$C$201, 3, FALSE), 0)</f>
        <v>0.05</v>
      </c>
      <c r="I57" s="12">
        <f t="shared" si="5"/>
        <v>350</v>
      </c>
    </row>
    <row r="58" spans="1:9" ht="18.75" x14ac:dyDescent="0.3">
      <c r="A58" s="23">
        <v>46091</v>
      </c>
      <c r="B58" s="18"/>
      <c r="C58" s="18"/>
      <c r="D58" s="18"/>
      <c r="E58" s="18" t="s">
        <v>142</v>
      </c>
      <c r="F58" s="18" t="s">
        <v>22</v>
      </c>
      <c r="G58" s="19">
        <f>IFERROR(VLOOKUP(F58, Price_Master!$A$2:$C$201, 2, FALSE), "")</f>
        <v>7000</v>
      </c>
      <c r="H58" s="20">
        <f>IFERROR(VLOOKUP(F58, Price_Master!$A$2:$C$201, 3, FALSE), 0)</f>
        <v>0.05</v>
      </c>
      <c r="I58" s="19">
        <f t="shared" si="5"/>
        <v>350</v>
      </c>
    </row>
    <row r="59" spans="1:9" ht="18.75" x14ac:dyDescent="0.3">
      <c r="A59" s="24">
        <v>46091</v>
      </c>
      <c r="B59" s="21"/>
      <c r="C59" s="21"/>
      <c r="D59" s="21"/>
      <c r="E59" s="21" t="s">
        <v>142</v>
      </c>
      <c r="F59" s="21" t="s">
        <v>21</v>
      </c>
      <c r="G59" s="12">
        <f>IFERROR(VLOOKUP(F59, Price_Master!$A$2:$C$201, 2, FALSE), "")</f>
        <v>10000</v>
      </c>
      <c r="H59" s="22">
        <f>IFERROR(VLOOKUP(F59, Price_Master!$A$2:$C$201, 3, FALSE), 0)</f>
        <v>0.05</v>
      </c>
      <c r="I59" s="12">
        <f t="shared" si="5"/>
        <v>500</v>
      </c>
    </row>
    <row r="60" spans="1:9" ht="18.75" x14ac:dyDescent="0.3">
      <c r="A60" s="23">
        <v>46091</v>
      </c>
      <c r="B60" s="18" t="s">
        <v>143</v>
      </c>
      <c r="C60" s="18" t="s">
        <v>144</v>
      </c>
      <c r="D60" s="18" t="s">
        <v>79</v>
      </c>
      <c r="E60" s="18" t="s">
        <v>145</v>
      </c>
      <c r="F60" s="18" t="s">
        <v>7</v>
      </c>
      <c r="G60" s="19">
        <f>IFERROR(VLOOKUP(F60, Price_Master!$A$2:$C$201, 2, FALSE), "")</f>
        <v>30000</v>
      </c>
      <c r="H60" s="20">
        <f>IFERROR(VLOOKUP(F60, Price_Master!$A$2:$C$201, 3, FALSE), 0)</f>
        <v>0.15</v>
      </c>
      <c r="I60" s="19">
        <f t="shared" ref="I60:I69" si="6">IFERROR(G60*H60, "")</f>
        <v>4500</v>
      </c>
    </row>
    <row r="61" spans="1:9" ht="18.75" x14ac:dyDescent="0.3">
      <c r="A61" s="24">
        <v>46091</v>
      </c>
      <c r="B61" s="21" t="s">
        <v>146</v>
      </c>
      <c r="C61" s="21" t="s">
        <v>147</v>
      </c>
      <c r="D61" s="21" t="s">
        <v>79</v>
      </c>
      <c r="E61" s="21" t="s">
        <v>148</v>
      </c>
      <c r="F61" s="21" t="s">
        <v>7</v>
      </c>
      <c r="G61" s="12">
        <f>IFERROR(VLOOKUP(F61, Price_Master!$A$2:$C$201, 2, FALSE), "")</f>
        <v>30000</v>
      </c>
      <c r="H61" s="22">
        <f>IFERROR(VLOOKUP(F61, Price_Master!$A$2:$C$201, 3, FALSE), 0)</f>
        <v>0.15</v>
      </c>
      <c r="I61" s="12">
        <f t="shared" si="6"/>
        <v>4500</v>
      </c>
    </row>
    <row r="62" spans="1:9" ht="18.75" x14ac:dyDescent="0.3">
      <c r="A62" s="24">
        <v>46092</v>
      </c>
      <c r="B62" s="21" t="s">
        <v>110</v>
      </c>
      <c r="C62" s="21" t="s">
        <v>111</v>
      </c>
      <c r="D62" s="21" t="s">
        <v>79</v>
      </c>
      <c r="E62" s="21" t="s">
        <v>94</v>
      </c>
      <c r="F62" s="21" t="s">
        <v>95</v>
      </c>
      <c r="G62" s="12">
        <f>IFERROR(VLOOKUP(F62, Price_Master!$A$2:$C$201, 2, FALSE), "")</f>
        <v>30000</v>
      </c>
      <c r="H62" s="22">
        <f>IFERROR(VLOOKUP(F62, Price_Master!$A$2:$C$201, 3, FALSE), 0)</f>
        <v>0.15</v>
      </c>
      <c r="I62" s="12">
        <f t="shared" si="6"/>
        <v>4500</v>
      </c>
    </row>
    <row r="63" spans="1:9" ht="18.75" x14ac:dyDescent="0.3">
      <c r="A63" s="24">
        <v>46092</v>
      </c>
      <c r="B63" s="21" t="s">
        <v>149</v>
      </c>
      <c r="C63" s="21" t="s">
        <v>131</v>
      </c>
      <c r="D63" s="21" t="s">
        <v>79</v>
      </c>
      <c r="E63" s="21" t="s">
        <v>91</v>
      </c>
      <c r="F63" s="21" t="s">
        <v>82</v>
      </c>
      <c r="G63" s="12">
        <f>IFERROR(VLOOKUP(F63, Price_Master!$A$2:$C$201, 2, FALSE), "")</f>
        <v>12000</v>
      </c>
      <c r="H63" s="22">
        <f>IFERROR(VLOOKUP(F63, Price_Master!$A$2:$C$201, 3, FALSE), 0)</f>
        <v>0.05</v>
      </c>
      <c r="I63" s="12">
        <f t="shared" si="6"/>
        <v>600</v>
      </c>
    </row>
    <row r="64" spans="1:9" ht="18.75" x14ac:dyDescent="0.3">
      <c r="A64" s="24">
        <v>46092</v>
      </c>
      <c r="B64" s="21" t="s">
        <v>150</v>
      </c>
      <c r="C64" s="21" t="s">
        <v>151</v>
      </c>
      <c r="D64" s="21" t="s">
        <v>90</v>
      </c>
      <c r="E64" s="21" t="s">
        <v>114</v>
      </c>
      <c r="F64" s="21" t="s">
        <v>7</v>
      </c>
      <c r="G64" s="12">
        <f>IFERROR(VLOOKUP(F64, Price_Master!$A$2:$C$201, 2, FALSE), "")</f>
        <v>30000</v>
      </c>
      <c r="H64" s="22">
        <f>IFERROR(VLOOKUP(F64, Price_Master!$A$2:$C$201, 3, FALSE), 0)</f>
        <v>0.15</v>
      </c>
      <c r="I64" s="12">
        <f t="shared" si="6"/>
        <v>4500</v>
      </c>
    </row>
    <row r="65" spans="1:9" ht="18.75" x14ac:dyDescent="0.3">
      <c r="A65" s="24">
        <v>46092</v>
      </c>
      <c r="B65" s="21"/>
      <c r="C65" s="21"/>
      <c r="D65" s="21"/>
      <c r="E65" s="21" t="s">
        <v>114</v>
      </c>
      <c r="F65" s="21" t="s">
        <v>56</v>
      </c>
      <c r="G65" s="12">
        <f>IFERROR(VLOOKUP(F65, Price_Master!$A$2:$C$201, 2, FALSE), "")</f>
        <v>10000</v>
      </c>
      <c r="H65" s="22">
        <f>IFERROR(VLOOKUP(F65, Price_Master!$A$2:$C$201, 3, FALSE), 0)</f>
        <v>0.15</v>
      </c>
      <c r="I65" s="12">
        <f t="shared" si="6"/>
        <v>1500</v>
      </c>
    </row>
    <row r="66" spans="1:9" ht="18.75" x14ac:dyDescent="0.3">
      <c r="A66" s="24">
        <v>46092</v>
      </c>
      <c r="B66" s="21"/>
      <c r="C66" s="21"/>
      <c r="D66" s="21"/>
      <c r="E66" s="21" t="s">
        <v>114</v>
      </c>
      <c r="F66" s="21" t="s">
        <v>49</v>
      </c>
      <c r="G66" s="12">
        <f>IFERROR(VLOOKUP(F66, Price_Master!$A$2:$C$201, 2, FALSE), "")</f>
        <v>10000</v>
      </c>
      <c r="H66" s="22">
        <f>IFERROR(VLOOKUP(F66, Price_Master!$A$2:$C$201, 3, FALSE), 0)</f>
        <v>0.15</v>
      </c>
      <c r="I66" s="12">
        <f t="shared" si="6"/>
        <v>1500</v>
      </c>
    </row>
    <row r="67" spans="1:9" ht="18.75" x14ac:dyDescent="0.3">
      <c r="A67" s="24">
        <v>46092</v>
      </c>
      <c r="B67" s="21"/>
      <c r="C67" s="21"/>
      <c r="D67" s="21"/>
      <c r="E67" s="21" t="s">
        <v>114</v>
      </c>
      <c r="F67" s="21" t="s">
        <v>18</v>
      </c>
      <c r="G67" s="12">
        <f>IFERROR(VLOOKUP(F67, Price_Master!$A$2:$C$201, 2, FALSE), "")</f>
        <v>25000</v>
      </c>
      <c r="H67" s="22">
        <f>IFERROR(VLOOKUP(F67, Price_Master!$A$2:$C$201, 3, FALSE), 0)</f>
        <v>0.05</v>
      </c>
      <c r="I67" s="12">
        <f t="shared" si="6"/>
        <v>1250</v>
      </c>
    </row>
    <row r="68" spans="1:9" ht="18.75" x14ac:dyDescent="0.3">
      <c r="A68" s="24">
        <v>46092</v>
      </c>
      <c r="B68" s="21"/>
      <c r="C68" s="21"/>
      <c r="D68" s="21"/>
      <c r="E68" s="21" t="s">
        <v>114</v>
      </c>
      <c r="F68" s="21" t="s">
        <v>95</v>
      </c>
      <c r="G68" s="12">
        <f>IFERROR(VLOOKUP(F68, Price_Master!$A$2:$C$201, 2, FALSE), "")</f>
        <v>30000</v>
      </c>
      <c r="H68" s="22">
        <f>IFERROR(VLOOKUP(F68, Price_Master!$A$2:$C$201, 3, FALSE), 0)</f>
        <v>0.15</v>
      </c>
      <c r="I68" s="12">
        <f t="shared" si="6"/>
        <v>4500</v>
      </c>
    </row>
    <row r="69" spans="1:9" ht="18.75" x14ac:dyDescent="0.3">
      <c r="A69" s="24">
        <v>46092</v>
      </c>
      <c r="B69" s="21" t="s">
        <v>152</v>
      </c>
      <c r="C69" s="21" t="s">
        <v>141</v>
      </c>
      <c r="D69" s="21" t="s">
        <v>79</v>
      </c>
      <c r="E69" s="21" t="s">
        <v>91</v>
      </c>
      <c r="F69" s="21" t="s">
        <v>7</v>
      </c>
      <c r="G69" s="12">
        <f>IFERROR(VLOOKUP(F69, Price_Master!$A$2:$C$201, 2, FALSE), "")</f>
        <v>30000</v>
      </c>
      <c r="H69" s="22">
        <f>IFERROR(VLOOKUP(F69, Price_Master!$A$2:$C$201, 3, FALSE), 0)</f>
        <v>0.15</v>
      </c>
      <c r="I69" s="12">
        <f t="shared" si="6"/>
        <v>4500</v>
      </c>
    </row>
    <row r="70" spans="1:9" ht="18.75" x14ac:dyDescent="0.3">
      <c r="A70" s="24">
        <v>46092</v>
      </c>
      <c r="B70" s="21"/>
      <c r="C70" s="21"/>
      <c r="D70" s="21"/>
      <c r="E70" s="21" t="s">
        <v>94</v>
      </c>
      <c r="F70" s="21" t="s">
        <v>49</v>
      </c>
      <c r="G70" s="12">
        <f>IFERROR(VLOOKUP(F70, Price_Master!$A$2:$C$201, 2, FALSE), "")</f>
        <v>10000</v>
      </c>
      <c r="H70" s="22">
        <f>IFERROR(VLOOKUP(F70, Price_Master!$A$2:$C$201, 3, FALSE), 0)</f>
        <v>0.15</v>
      </c>
      <c r="I70" s="12">
        <f t="shared" ref="I70:I81" si="7">IFERROR(G70*H70, "")</f>
        <v>1500</v>
      </c>
    </row>
    <row r="71" spans="1:9" ht="18.75" x14ac:dyDescent="0.3">
      <c r="A71" s="24">
        <v>46092</v>
      </c>
      <c r="B71" s="21"/>
      <c r="C71" s="21"/>
      <c r="D71" s="21"/>
      <c r="E71" s="21" t="s">
        <v>94</v>
      </c>
      <c r="F71" s="21" t="s">
        <v>95</v>
      </c>
      <c r="G71" s="12">
        <f>IFERROR(VLOOKUP(F71, Price_Master!$A$2:$C$201, 2, FALSE), "")</f>
        <v>30000</v>
      </c>
      <c r="H71" s="22">
        <f>IFERROR(VLOOKUP(F71, Price_Master!$A$2:$C$201, 3, FALSE), 0)</f>
        <v>0.15</v>
      </c>
      <c r="I71" s="12">
        <f t="shared" si="7"/>
        <v>4500</v>
      </c>
    </row>
    <row r="72" spans="1:9" ht="18.75" x14ac:dyDescent="0.3">
      <c r="A72" s="24">
        <v>46093</v>
      </c>
      <c r="B72" s="21" t="s">
        <v>153</v>
      </c>
      <c r="C72" s="21" t="s">
        <v>154</v>
      </c>
      <c r="D72" s="21" t="s">
        <v>79</v>
      </c>
      <c r="E72" s="21" t="s">
        <v>114</v>
      </c>
      <c r="F72" s="21" t="s">
        <v>95</v>
      </c>
      <c r="G72" s="12">
        <f>IFERROR(VLOOKUP(F72, Price_Master!$A$2:$C$201, 2, FALSE), "")</f>
        <v>30000</v>
      </c>
      <c r="H72" s="22">
        <f>IFERROR(VLOOKUP(F72, Price_Master!$A$2:$C$201, 3, FALSE), 0)</f>
        <v>0.15</v>
      </c>
      <c r="I72" s="12">
        <f t="shared" si="7"/>
        <v>4500</v>
      </c>
    </row>
    <row r="73" spans="1:9" ht="18.75" x14ac:dyDescent="0.3">
      <c r="A73" s="24">
        <v>46093</v>
      </c>
      <c r="B73" s="21" t="s">
        <v>155</v>
      </c>
      <c r="C73" s="21" t="s">
        <v>156</v>
      </c>
      <c r="D73" s="21" t="s">
        <v>90</v>
      </c>
      <c r="E73" s="21" t="s">
        <v>114</v>
      </c>
      <c r="F73" s="21" t="s">
        <v>7</v>
      </c>
      <c r="G73" s="12">
        <f>IFERROR(VLOOKUP(F73, Price_Master!$A$2:$C$201, 2, FALSE), "")</f>
        <v>30000</v>
      </c>
      <c r="H73" s="22">
        <f>IFERROR(VLOOKUP(F73, Price_Master!$A$2:$C$201, 3, FALSE), 0)</f>
        <v>0.15</v>
      </c>
      <c r="I73" s="12">
        <f t="shared" si="7"/>
        <v>4500</v>
      </c>
    </row>
    <row r="74" spans="1:9" ht="18.75" x14ac:dyDescent="0.3">
      <c r="A74" s="24">
        <v>46093</v>
      </c>
      <c r="B74" s="21"/>
      <c r="C74" s="21"/>
      <c r="D74" s="21"/>
      <c r="E74" s="21" t="s">
        <v>114</v>
      </c>
      <c r="F74" s="21" t="s">
        <v>56</v>
      </c>
      <c r="G74" s="12">
        <f>IFERROR(VLOOKUP(F74, Price_Master!$A$2:$C$201, 2, FALSE), "")</f>
        <v>10000</v>
      </c>
      <c r="H74" s="22">
        <f>IFERROR(VLOOKUP(F74, Price_Master!$A$2:$C$201, 3, FALSE), 0)</f>
        <v>0.15</v>
      </c>
      <c r="I74" s="12">
        <f t="shared" si="7"/>
        <v>1500</v>
      </c>
    </row>
    <row r="75" spans="1:9" ht="18.75" x14ac:dyDescent="0.3">
      <c r="A75" s="24">
        <v>46093</v>
      </c>
      <c r="B75" s="21"/>
      <c r="C75" s="21"/>
      <c r="D75" s="21"/>
      <c r="E75" s="21" t="s">
        <v>114</v>
      </c>
      <c r="F75" s="21" t="s">
        <v>49</v>
      </c>
      <c r="G75" s="12">
        <f>IFERROR(VLOOKUP(F75, Price_Master!$A$2:$C$201, 2, FALSE), "")</f>
        <v>10000</v>
      </c>
      <c r="H75" s="22">
        <f>IFERROR(VLOOKUP(F75, Price_Master!$A$2:$C$201, 3, FALSE), 0)</f>
        <v>0.15</v>
      </c>
      <c r="I75" s="12">
        <f t="shared" si="7"/>
        <v>1500</v>
      </c>
    </row>
    <row r="76" spans="1:9" ht="18.75" x14ac:dyDescent="0.3">
      <c r="A76" s="24">
        <v>46093</v>
      </c>
      <c r="B76" s="21"/>
      <c r="C76" s="21"/>
      <c r="D76" s="21"/>
      <c r="E76" s="21" t="s">
        <v>114</v>
      </c>
      <c r="F76" s="21" t="s">
        <v>95</v>
      </c>
      <c r="G76" s="12">
        <f>IFERROR(VLOOKUP(F76, Price_Master!$A$2:$C$201, 2, FALSE), "")</f>
        <v>30000</v>
      </c>
      <c r="H76" s="22">
        <f>IFERROR(VLOOKUP(F76, Price_Master!$A$2:$C$201, 3, FALSE), 0)</f>
        <v>0.15</v>
      </c>
      <c r="I76" s="12">
        <f t="shared" si="7"/>
        <v>4500</v>
      </c>
    </row>
    <row r="77" spans="1:9" ht="18.75" x14ac:dyDescent="0.3">
      <c r="A77" s="24">
        <v>46093</v>
      </c>
      <c r="B77" s="21"/>
      <c r="C77" s="21"/>
      <c r="D77" s="21"/>
      <c r="E77" s="21" t="s">
        <v>114</v>
      </c>
      <c r="F77" s="21" t="s">
        <v>33</v>
      </c>
      <c r="G77" s="12">
        <f>IFERROR(VLOOKUP(F77, Price_Master!$A$2:$C$201, 2, FALSE), "")</f>
        <v>25000</v>
      </c>
      <c r="H77" s="22">
        <f>IFERROR(VLOOKUP(F77, Price_Master!$A$2:$C$201, 3, FALSE), 0)</f>
        <v>0.15</v>
      </c>
      <c r="I77" s="12">
        <f t="shared" si="7"/>
        <v>3750</v>
      </c>
    </row>
    <row r="78" spans="1:9" ht="18.75" x14ac:dyDescent="0.3">
      <c r="A78" s="24">
        <v>46093</v>
      </c>
      <c r="B78" s="21" t="s">
        <v>157</v>
      </c>
      <c r="C78" s="21" t="s">
        <v>158</v>
      </c>
      <c r="D78" s="21" t="s">
        <v>90</v>
      </c>
      <c r="E78" s="21" t="s">
        <v>114</v>
      </c>
      <c r="F78" s="21" t="s">
        <v>7</v>
      </c>
      <c r="G78" s="12">
        <f>IFERROR(VLOOKUP(F78, Price_Master!$A$2:$C$201, 2, FALSE), "")</f>
        <v>30000</v>
      </c>
      <c r="H78" s="22">
        <f>IFERROR(VLOOKUP(F78, Price_Master!$A$2:$C$201, 3, FALSE), 0)</f>
        <v>0.15</v>
      </c>
      <c r="I78" s="12">
        <f t="shared" si="7"/>
        <v>4500</v>
      </c>
    </row>
    <row r="79" spans="1:9" ht="18.75" x14ac:dyDescent="0.3">
      <c r="A79" s="24">
        <v>46093</v>
      </c>
      <c r="B79" s="21"/>
      <c r="C79" s="21"/>
      <c r="D79" s="21"/>
      <c r="E79" s="21" t="s">
        <v>114</v>
      </c>
      <c r="F79" s="21" t="s">
        <v>8</v>
      </c>
      <c r="G79" s="12">
        <f>IFERROR(VLOOKUP(F79, Price_Master!$A$2:$C$201, 2, FALSE), "")</f>
        <v>12000</v>
      </c>
      <c r="H79" s="22">
        <f>IFERROR(VLOOKUP(F79, Price_Master!$A$2:$C$201, 3, FALSE), 0)</f>
        <v>0.05</v>
      </c>
      <c r="I79" s="12">
        <f t="shared" si="7"/>
        <v>600</v>
      </c>
    </row>
    <row r="80" spans="1:9" ht="18.75" x14ac:dyDescent="0.3">
      <c r="A80" s="24">
        <v>46093</v>
      </c>
      <c r="B80" s="21"/>
      <c r="C80" s="21"/>
      <c r="D80" s="21"/>
      <c r="E80" s="21" t="s">
        <v>114</v>
      </c>
      <c r="F80" s="21" t="s">
        <v>57</v>
      </c>
      <c r="G80" s="12">
        <f>IFERROR(VLOOKUP(F80, Price_Master!$A$2:$C$201, 2, FALSE), "")</f>
        <v>10000</v>
      </c>
      <c r="H80" s="22">
        <f>IFERROR(VLOOKUP(F80, Price_Master!$A$2:$C$201, 3, FALSE), 0)</f>
        <v>0.05</v>
      </c>
      <c r="I80" s="12">
        <f t="shared" si="7"/>
        <v>500</v>
      </c>
    </row>
    <row r="81" spans="1:9" ht="18.75" x14ac:dyDescent="0.3">
      <c r="A81" s="24">
        <v>46093</v>
      </c>
      <c r="B81" s="21"/>
      <c r="C81" s="21"/>
      <c r="D81" s="21"/>
      <c r="E81" s="21" t="s">
        <v>114</v>
      </c>
      <c r="F81" s="21" t="s">
        <v>18</v>
      </c>
      <c r="G81" s="12">
        <f>IFERROR(VLOOKUP(F81, Price_Master!$A$2:$C$201, 2, FALSE), "")</f>
        <v>25000</v>
      </c>
      <c r="H81" s="22">
        <f>IFERROR(VLOOKUP(F81, Price_Master!$A$2:$C$201, 3, FALSE), 0)</f>
        <v>0.05</v>
      </c>
      <c r="I81" s="12">
        <f t="shared" si="7"/>
        <v>1250</v>
      </c>
    </row>
    <row r="82" spans="1:9" ht="18.75" x14ac:dyDescent="0.3">
      <c r="A82" s="24">
        <v>46094</v>
      </c>
      <c r="B82" s="21" t="s">
        <v>159</v>
      </c>
      <c r="C82" s="21" t="s">
        <v>111</v>
      </c>
      <c r="D82" s="21" t="s">
        <v>79</v>
      </c>
      <c r="E82" s="21" t="s">
        <v>94</v>
      </c>
      <c r="F82" s="21" t="s">
        <v>37</v>
      </c>
      <c r="G82" s="12">
        <f>IFERROR(VLOOKUP(F82, Price_Master!$A$2:$C$201, 2, FALSE), "")</f>
        <v>36000</v>
      </c>
      <c r="H82" s="22">
        <f>IFERROR(VLOOKUP(F82, Price_Master!$A$2:$C$201, 3, FALSE), 0)</f>
        <v>0.15</v>
      </c>
      <c r="I82" s="12">
        <f t="shared" ref="I82:I87" si="8">IFERROR(G82*H82, "")</f>
        <v>5400</v>
      </c>
    </row>
    <row r="83" spans="1:9" ht="18.75" x14ac:dyDescent="0.3">
      <c r="A83" s="24">
        <v>46095</v>
      </c>
      <c r="B83" s="21" t="s">
        <v>160</v>
      </c>
      <c r="C83" s="21" t="s">
        <v>161</v>
      </c>
      <c r="D83" s="21" t="s">
        <v>90</v>
      </c>
      <c r="E83" s="21" t="s">
        <v>94</v>
      </c>
      <c r="F83" s="21" t="s">
        <v>121</v>
      </c>
      <c r="G83" s="12">
        <f>IFERROR(VLOOKUP(F83, Price_Master!$A$2:$C$201, 2, FALSE), "")</f>
        <v>25000</v>
      </c>
      <c r="H83" s="22">
        <f>IFERROR(VLOOKUP(F83, Price_Master!$A$2:$C$201, 3, FALSE), 0)</f>
        <v>0.05</v>
      </c>
      <c r="I83" s="12">
        <f t="shared" si="8"/>
        <v>1250</v>
      </c>
    </row>
    <row r="84" spans="1:9" ht="18.75" x14ac:dyDescent="0.3">
      <c r="A84" s="24">
        <v>46095</v>
      </c>
      <c r="B84" s="21"/>
      <c r="C84" s="21"/>
      <c r="D84" s="21"/>
      <c r="E84" s="21" t="s">
        <v>94</v>
      </c>
      <c r="F84" s="21" t="s">
        <v>49</v>
      </c>
      <c r="G84" s="12">
        <f>IFERROR(VLOOKUP(F84, Price_Master!$A$2:$C$201, 2, FALSE), "")</f>
        <v>10000</v>
      </c>
      <c r="H84" s="22">
        <f>IFERROR(VLOOKUP(F84, Price_Master!$A$2:$C$201, 3, FALSE), 0)</f>
        <v>0.15</v>
      </c>
      <c r="I84" s="12">
        <f t="shared" si="8"/>
        <v>1500</v>
      </c>
    </row>
    <row r="85" spans="1:9" ht="18.75" x14ac:dyDescent="0.3">
      <c r="A85" s="24">
        <v>46095</v>
      </c>
      <c r="B85" s="21" t="s">
        <v>162</v>
      </c>
      <c r="C85" s="21" t="s">
        <v>163</v>
      </c>
      <c r="D85" s="21" t="s">
        <v>90</v>
      </c>
      <c r="E85" s="21" t="s">
        <v>164</v>
      </c>
      <c r="F85" s="21" t="s">
        <v>121</v>
      </c>
      <c r="G85" s="12">
        <f>IFERROR(VLOOKUP(F85, Price_Master!$A$2:$C$201, 2, FALSE), "")</f>
        <v>25000</v>
      </c>
      <c r="H85" s="22">
        <f>IFERROR(VLOOKUP(F85, Price_Master!$A$2:$C$201, 3, FALSE), 0)</f>
        <v>0.05</v>
      </c>
      <c r="I85" s="12">
        <f t="shared" si="8"/>
        <v>1250</v>
      </c>
    </row>
    <row r="86" spans="1:9" ht="18.75" x14ac:dyDescent="0.3">
      <c r="A86" s="24">
        <v>46095</v>
      </c>
      <c r="B86" s="21"/>
      <c r="C86" s="21"/>
      <c r="D86" s="21"/>
      <c r="E86" s="21" t="s">
        <v>164</v>
      </c>
      <c r="F86" s="21" t="s">
        <v>49</v>
      </c>
      <c r="G86" s="12">
        <f>IFERROR(VLOOKUP(F86, Price_Master!$A$2:$C$201, 2, FALSE), "")</f>
        <v>10000</v>
      </c>
      <c r="H86" s="22">
        <f>IFERROR(VLOOKUP(F86, Price_Master!$A$2:$C$201, 3, FALSE), 0)</f>
        <v>0.15</v>
      </c>
      <c r="I86" s="12">
        <f t="shared" si="8"/>
        <v>1500</v>
      </c>
    </row>
    <row r="87" spans="1:9" ht="18.75" x14ac:dyDescent="0.3">
      <c r="A87" s="24">
        <v>46095</v>
      </c>
      <c r="B87" s="21"/>
      <c r="C87" s="21"/>
      <c r="D87" s="21"/>
      <c r="E87" s="21" t="s">
        <v>164</v>
      </c>
      <c r="F87" s="21" t="s">
        <v>11</v>
      </c>
      <c r="G87" s="12">
        <f>IFERROR(VLOOKUP(F87, Price_Master!$A$2:$C$201, 2, FALSE), "")</f>
        <v>36000</v>
      </c>
      <c r="H87" s="22">
        <f>IFERROR(VLOOKUP(F87, Price_Master!$A$2:$C$201, 3, FALSE), 0)</f>
        <v>0.15</v>
      </c>
      <c r="I87" s="12">
        <f t="shared" si="8"/>
        <v>5400</v>
      </c>
    </row>
    <row r="88" spans="1:9" ht="18.75" x14ac:dyDescent="0.3">
      <c r="A88" s="24">
        <v>46096</v>
      </c>
      <c r="B88" s="21" t="s">
        <v>165</v>
      </c>
      <c r="C88" s="21" t="s">
        <v>168</v>
      </c>
      <c r="D88" s="21" t="s">
        <v>90</v>
      </c>
      <c r="E88" s="21" t="s">
        <v>114</v>
      </c>
      <c r="F88" s="21" t="s">
        <v>7</v>
      </c>
      <c r="G88" s="12">
        <f>IFERROR(VLOOKUP(F88, Price_Master!$A$2:$C$201, 2, FALSE), "")</f>
        <v>30000</v>
      </c>
      <c r="H88" s="22">
        <f>IFERROR(VLOOKUP(F88, Price_Master!$A$2:$C$201, 3, FALSE), 0)</f>
        <v>0.15</v>
      </c>
      <c r="I88" s="12">
        <f t="shared" ref="I88:I103" si="9">IFERROR(G88*H88, "")</f>
        <v>4500</v>
      </c>
    </row>
    <row r="89" spans="1:9" ht="18.75" x14ac:dyDescent="0.3">
      <c r="A89" s="24">
        <v>46096</v>
      </c>
      <c r="B89" s="21"/>
      <c r="C89" s="21"/>
      <c r="D89" s="21"/>
      <c r="E89" s="21" t="s">
        <v>114</v>
      </c>
      <c r="F89" s="21" t="s">
        <v>60</v>
      </c>
      <c r="G89" s="12">
        <f>IFERROR(VLOOKUP(F89, Price_Master!$A$2:$C$201, 2, FALSE), "")</f>
        <v>25000</v>
      </c>
      <c r="H89" s="22">
        <f>IFERROR(VLOOKUP(F89, Price_Master!$A$2:$C$201, 3, FALSE), 0)</f>
        <v>0.05</v>
      </c>
      <c r="I89" s="12">
        <f t="shared" si="9"/>
        <v>1250</v>
      </c>
    </row>
    <row r="90" spans="1:9" ht="18.75" x14ac:dyDescent="0.3">
      <c r="A90" s="24">
        <v>46096</v>
      </c>
      <c r="B90" s="21"/>
      <c r="C90" s="21"/>
      <c r="D90" s="21"/>
      <c r="E90" s="21" t="s">
        <v>114</v>
      </c>
      <c r="F90" s="21" t="s">
        <v>57</v>
      </c>
      <c r="G90" s="12">
        <f>IFERROR(VLOOKUP(F90, Price_Master!$A$2:$C$201, 2, FALSE), "")</f>
        <v>10000</v>
      </c>
      <c r="H90" s="22">
        <f>IFERROR(VLOOKUP(F90, Price_Master!$A$2:$C$201, 3, FALSE), 0)</f>
        <v>0.05</v>
      </c>
      <c r="I90" s="12">
        <f t="shared" si="9"/>
        <v>500</v>
      </c>
    </row>
    <row r="91" spans="1:9" ht="18.75" x14ac:dyDescent="0.3">
      <c r="A91" s="24">
        <v>46096</v>
      </c>
      <c r="B91" s="21"/>
      <c r="C91" s="21"/>
      <c r="D91" s="21"/>
      <c r="E91" s="21" t="s">
        <v>114</v>
      </c>
      <c r="F91" s="21" t="s">
        <v>18</v>
      </c>
      <c r="G91" s="12">
        <f>IFERROR(VLOOKUP(F91, Price_Master!$A$2:$C$201, 2, FALSE), "")</f>
        <v>25000</v>
      </c>
      <c r="H91" s="22">
        <f>IFERROR(VLOOKUP(F91, Price_Master!$A$2:$C$201, 3, FALSE), 0)</f>
        <v>0.05</v>
      </c>
      <c r="I91" s="12">
        <f t="shared" si="9"/>
        <v>1250</v>
      </c>
    </row>
    <row r="92" spans="1:9" ht="18.75" x14ac:dyDescent="0.3">
      <c r="A92" s="24">
        <v>46096</v>
      </c>
      <c r="B92" s="21" t="s">
        <v>167</v>
      </c>
      <c r="C92" s="21" t="s">
        <v>166</v>
      </c>
      <c r="D92" s="21" t="s">
        <v>90</v>
      </c>
      <c r="E92" s="21" t="s">
        <v>114</v>
      </c>
      <c r="F92" s="21" t="s">
        <v>57</v>
      </c>
      <c r="G92" s="12">
        <f>IFERROR(VLOOKUP(F92, Price_Master!$A$2:$C$201, 2, FALSE), "")</f>
        <v>10000</v>
      </c>
      <c r="H92" s="22">
        <f>IFERROR(VLOOKUP(F92, Price_Master!$A$2:$C$201, 3, FALSE), 0)</f>
        <v>0.05</v>
      </c>
      <c r="I92" s="12">
        <f t="shared" si="9"/>
        <v>500</v>
      </c>
    </row>
    <row r="93" spans="1:9" ht="18.75" x14ac:dyDescent="0.3">
      <c r="A93" s="24">
        <v>46096</v>
      </c>
      <c r="B93" s="21" t="s">
        <v>169</v>
      </c>
      <c r="C93" s="21" t="s">
        <v>170</v>
      </c>
      <c r="D93" s="21" t="s">
        <v>79</v>
      </c>
      <c r="E93" s="21" t="s">
        <v>114</v>
      </c>
      <c r="F93" s="21" t="s">
        <v>7</v>
      </c>
      <c r="G93" s="12">
        <f>IFERROR(VLOOKUP(F93, Price_Master!$A$2:$C$201, 2, FALSE), "")</f>
        <v>30000</v>
      </c>
      <c r="H93" s="22">
        <f>IFERROR(VLOOKUP(F93, Price_Master!$A$2:$C$201, 3, FALSE), 0)</f>
        <v>0.15</v>
      </c>
      <c r="I93" s="12">
        <f t="shared" si="9"/>
        <v>4500</v>
      </c>
    </row>
    <row r="94" spans="1:9" ht="18.75" x14ac:dyDescent="0.3">
      <c r="A94" s="24">
        <v>46096</v>
      </c>
      <c r="B94" s="21"/>
      <c r="C94" s="21"/>
      <c r="D94" s="21"/>
      <c r="E94" s="21" t="s">
        <v>114</v>
      </c>
      <c r="F94" s="21" t="s">
        <v>57</v>
      </c>
      <c r="G94" s="12">
        <f>IFERROR(VLOOKUP(F94, Price_Master!$A$2:$C$201, 2, FALSE), "")</f>
        <v>10000</v>
      </c>
      <c r="H94" s="22">
        <f>IFERROR(VLOOKUP(F94, Price_Master!$A$2:$C$201, 3, FALSE), 0)</f>
        <v>0.05</v>
      </c>
      <c r="I94" s="12">
        <f t="shared" si="9"/>
        <v>500</v>
      </c>
    </row>
    <row r="95" spans="1:9" ht="18.75" x14ac:dyDescent="0.3">
      <c r="A95" s="24">
        <v>46096</v>
      </c>
      <c r="B95" s="21" t="s">
        <v>171</v>
      </c>
      <c r="C95" s="21" t="s">
        <v>172</v>
      </c>
      <c r="D95" s="21" t="s">
        <v>90</v>
      </c>
      <c r="E95" s="21" t="s">
        <v>114</v>
      </c>
      <c r="F95" s="21" t="s">
        <v>7</v>
      </c>
      <c r="G95" s="12">
        <f>IFERROR(VLOOKUP(F95, Price_Master!$A$2:$C$201, 2, FALSE), "")</f>
        <v>30000</v>
      </c>
      <c r="H95" s="22">
        <f>IFERROR(VLOOKUP(F95, Price_Master!$A$2:$C$201, 3, FALSE), 0)</f>
        <v>0.15</v>
      </c>
      <c r="I95" s="12">
        <f t="shared" si="9"/>
        <v>4500</v>
      </c>
    </row>
    <row r="96" spans="1:9" ht="18.75" x14ac:dyDescent="0.3">
      <c r="A96" s="24">
        <v>46096</v>
      </c>
      <c r="B96" s="21"/>
      <c r="C96" s="21"/>
      <c r="D96" s="21"/>
      <c r="E96" s="21" t="s">
        <v>114</v>
      </c>
      <c r="F96" s="21" t="s">
        <v>8</v>
      </c>
      <c r="G96" s="12">
        <f>IFERROR(VLOOKUP(F96, Price_Master!$A$2:$C$201, 2, FALSE), "")</f>
        <v>12000</v>
      </c>
      <c r="H96" s="22">
        <f>IFERROR(VLOOKUP(F96, Price_Master!$A$2:$C$201, 3, FALSE), 0)</f>
        <v>0.05</v>
      </c>
      <c r="I96" s="12">
        <f t="shared" si="9"/>
        <v>600</v>
      </c>
    </row>
    <row r="97" spans="1:9" ht="18.75" x14ac:dyDescent="0.3">
      <c r="A97" s="24">
        <v>46096</v>
      </c>
      <c r="B97" s="21"/>
      <c r="C97" s="21"/>
      <c r="D97" s="21"/>
      <c r="E97" s="21" t="s">
        <v>114</v>
      </c>
      <c r="F97" s="21" t="s">
        <v>47</v>
      </c>
      <c r="G97" s="12">
        <f>IFERROR(VLOOKUP(F97, Price_Master!$A$2:$C$201, 2, FALSE), "")</f>
        <v>30000</v>
      </c>
      <c r="H97" s="22">
        <f>IFERROR(VLOOKUP(F97, Price_Master!$A$2:$C$201, 3, FALSE), 0)</f>
        <v>0.05</v>
      </c>
      <c r="I97" s="12">
        <f t="shared" si="9"/>
        <v>1500</v>
      </c>
    </row>
    <row r="98" spans="1:9" ht="18.75" x14ac:dyDescent="0.3">
      <c r="A98" s="24">
        <v>46096</v>
      </c>
      <c r="B98" s="21"/>
      <c r="C98" s="21"/>
      <c r="D98" s="21"/>
      <c r="E98" s="21" t="s">
        <v>114</v>
      </c>
      <c r="F98" s="21" t="s">
        <v>60</v>
      </c>
      <c r="G98" s="12">
        <f>IFERROR(VLOOKUP(F98, Price_Master!$A$2:$C$201, 2, FALSE), "")</f>
        <v>25000</v>
      </c>
      <c r="H98" s="22">
        <f>IFERROR(VLOOKUP(F98, Price_Master!$A$2:$C$201, 3, FALSE), 0)</f>
        <v>0.05</v>
      </c>
      <c r="I98" s="12">
        <f t="shared" si="9"/>
        <v>1250</v>
      </c>
    </row>
    <row r="99" spans="1:9" ht="18.75" x14ac:dyDescent="0.3">
      <c r="A99" s="24">
        <v>46096</v>
      </c>
      <c r="B99" s="21"/>
      <c r="C99" s="21"/>
      <c r="D99" s="21"/>
      <c r="E99" s="21" t="s">
        <v>114</v>
      </c>
      <c r="F99" s="21" t="s">
        <v>49</v>
      </c>
      <c r="G99" s="12">
        <f>IFERROR(VLOOKUP(F99, Price_Master!$A$2:$C$201, 2, FALSE), "")</f>
        <v>10000</v>
      </c>
      <c r="H99" s="22">
        <f>IFERROR(VLOOKUP(F99, Price_Master!$A$2:$C$201, 3, FALSE), 0)</f>
        <v>0.15</v>
      </c>
      <c r="I99" s="12">
        <f t="shared" si="9"/>
        <v>1500</v>
      </c>
    </row>
    <row r="100" spans="1:9" ht="18.75" x14ac:dyDescent="0.3">
      <c r="A100" s="24">
        <v>46096</v>
      </c>
      <c r="B100" s="21"/>
      <c r="C100" s="21"/>
      <c r="D100" s="21"/>
      <c r="E100" s="21" t="s">
        <v>114</v>
      </c>
      <c r="F100" s="21" t="s">
        <v>95</v>
      </c>
      <c r="G100" s="12">
        <f>IFERROR(VLOOKUP(F100, Price_Master!$A$2:$C$201, 2, FALSE), "")</f>
        <v>30000</v>
      </c>
      <c r="H100" s="22">
        <f>IFERROR(VLOOKUP(F100, Price_Master!$A$2:$C$201, 3, FALSE), 0)</f>
        <v>0.15</v>
      </c>
      <c r="I100" s="12">
        <f t="shared" si="9"/>
        <v>4500</v>
      </c>
    </row>
    <row r="101" spans="1:9" ht="18.75" x14ac:dyDescent="0.3">
      <c r="A101" s="24">
        <v>46096</v>
      </c>
      <c r="B101" s="21"/>
      <c r="C101" s="21"/>
      <c r="D101" s="21"/>
      <c r="E101" s="21" t="s">
        <v>114</v>
      </c>
      <c r="F101" s="21" t="s">
        <v>33</v>
      </c>
      <c r="G101" s="12">
        <f>IFERROR(VLOOKUP(F101, Price_Master!$A$2:$C$201, 2, FALSE), "")</f>
        <v>25000</v>
      </c>
      <c r="H101" s="22">
        <f>IFERROR(VLOOKUP(F101, Price_Master!$A$2:$C$201, 3, FALSE), 0)</f>
        <v>0.15</v>
      </c>
      <c r="I101" s="12">
        <f t="shared" si="9"/>
        <v>3750</v>
      </c>
    </row>
    <row r="102" spans="1:9" ht="18.75" x14ac:dyDescent="0.3">
      <c r="A102" s="24">
        <v>46096</v>
      </c>
      <c r="B102" s="21" t="s">
        <v>173</v>
      </c>
      <c r="C102" s="21" t="s">
        <v>174</v>
      </c>
      <c r="D102" s="21" t="s">
        <v>79</v>
      </c>
      <c r="E102" s="21" t="s">
        <v>91</v>
      </c>
      <c r="F102" s="21" t="s">
        <v>57</v>
      </c>
      <c r="G102" s="12">
        <f>IFERROR(VLOOKUP(F102, Price_Master!$A$2:$C$201, 2, FALSE), "")</f>
        <v>10000</v>
      </c>
      <c r="H102" s="22">
        <f>IFERROR(VLOOKUP(F102, Price_Master!$A$2:$C$201, 3, FALSE), 0)</f>
        <v>0.05</v>
      </c>
      <c r="I102" s="12">
        <f t="shared" si="9"/>
        <v>500</v>
      </c>
    </row>
    <row r="103" spans="1:9" ht="18.75" x14ac:dyDescent="0.3">
      <c r="A103" s="24">
        <v>46096</v>
      </c>
      <c r="B103" s="21"/>
      <c r="C103" s="21"/>
      <c r="D103" s="21"/>
      <c r="E103" s="21" t="s">
        <v>91</v>
      </c>
      <c r="F103" s="21" t="s">
        <v>58</v>
      </c>
      <c r="G103" s="12">
        <f>IFERROR(VLOOKUP(F103, Price_Master!$A$2:$C$201, 2, FALSE), "")</f>
        <v>12000</v>
      </c>
      <c r="H103" s="22">
        <f>IFERROR(VLOOKUP(F103, Price_Master!$A$2:$C$201, 3, FALSE), 0)</f>
        <v>0.05</v>
      </c>
      <c r="I103" s="12">
        <f t="shared" si="9"/>
        <v>600</v>
      </c>
    </row>
    <row r="104" spans="1:9" ht="18.75" x14ac:dyDescent="0.3">
      <c r="A104" s="24">
        <v>46097</v>
      </c>
      <c r="B104" s="21" t="s">
        <v>175</v>
      </c>
      <c r="C104" s="21" t="s">
        <v>176</v>
      </c>
      <c r="D104" s="21" t="s">
        <v>90</v>
      </c>
      <c r="E104" s="21" t="s">
        <v>94</v>
      </c>
      <c r="F104" s="21" t="s">
        <v>24</v>
      </c>
      <c r="G104" s="12">
        <f>IFERROR(VLOOKUP(F104, Price_Master!$A$2:$C$201, 2, FALSE), "")</f>
        <v>7000</v>
      </c>
      <c r="H104" s="22">
        <f>IFERROR(VLOOKUP(F104, Price_Master!$A$2:$C$201, 3, FALSE), 0)</f>
        <v>0.05</v>
      </c>
      <c r="I104" s="12">
        <f t="shared" ref="I104:I110" si="10">IFERROR(G104*H104, "")</f>
        <v>350</v>
      </c>
    </row>
    <row r="105" spans="1:9" ht="18.75" x14ac:dyDescent="0.3">
      <c r="A105" s="24">
        <v>46097</v>
      </c>
      <c r="B105" s="21"/>
      <c r="C105" s="21"/>
      <c r="D105" s="21"/>
      <c r="E105" s="21" t="s">
        <v>94</v>
      </c>
      <c r="F105" s="21" t="s">
        <v>49</v>
      </c>
      <c r="G105" s="12">
        <f>IFERROR(VLOOKUP(F105, Price_Master!$A$2:$C$201, 2, FALSE), "")</f>
        <v>10000</v>
      </c>
      <c r="H105" s="22">
        <f>IFERROR(VLOOKUP(F105, Price_Master!$A$2:$C$201, 3, FALSE), 0)</f>
        <v>0.15</v>
      </c>
      <c r="I105" s="12">
        <f t="shared" si="10"/>
        <v>1500</v>
      </c>
    </row>
    <row r="106" spans="1:9" ht="18.75" x14ac:dyDescent="0.3">
      <c r="A106" s="24">
        <v>46097</v>
      </c>
      <c r="B106" s="21"/>
      <c r="C106" s="21"/>
      <c r="D106" s="21"/>
      <c r="E106" s="21" t="s">
        <v>94</v>
      </c>
      <c r="F106" s="21" t="s">
        <v>37</v>
      </c>
      <c r="G106" s="12">
        <f>IFERROR(VLOOKUP(F106, Price_Master!$A$2:$C$201, 2, FALSE), "")</f>
        <v>36000</v>
      </c>
      <c r="H106" s="22">
        <f>IFERROR(VLOOKUP(F106, Price_Master!$A$2:$C$201, 3, FALSE), 0)</f>
        <v>0.15</v>
      </c>
      <c r="I106" s="12">
        <f t="shared" si="10"/>
        <v>5400</v>
      </c>
    </row>
    <row r="107" spans="1:9" ht="18.75" x14ac:dyDescent="0.3">
      <c r="A107" s="24">
        <v>46098</v>
      </c>
      <c r="B107" s="21" t="s">
        <v>177</v>
      </c>
      <c r="C107" s="21" t="s">
        <v>178</v>
      </c>
      <c r="D107" s="21" t="s">
        <v>79</v>
      </c>
      <c r="E107" s="21" t="s">
        <v>84</v>
      </c>
      <c r="F107" s="21" t="s">
        <v>50</v>
      </c>
      <c r="G107" s="12">
        <f>IFERROR(VLOOKUP(F107, Price_Master!$A$2:$C$201, 2, FALSE), "")</f>
        <v>7000</v>
      </c>
      <c r="H107" s="22">
        <f>IFERROR(VLOOKUP(F107, Price_Master!$A$2:$C$201, 3, FALSE), 0)</f>
        <v>0.05</v>
      </c>
      <c r="I107" s="12">
        <f t="shared" si="10"/>
        <v>350</v>
      </c>
    </row>
    <row r="108" spans="1:9" ht="18.75" x14ac:dyDescent="0.3">
      <c r="A108" s="24">
        <v>46098</v>
      </c>
      <c r="B108" s="21"/>
      <c r="C108" s="21"/>
      <c r="D108" s="21"/>
      <c r="E108" s="21" t="s">
        <v>84</v>
      </c>
      <c r="F108" s="21" t="s">
        <v>22</v>
      </c>
      <c r="G108" s="12">
        <f>IFERROR(VLOOKUP(F108, Price_Master!$A$2:$C$201, 2, FALSE), "")</f>
        <v>7000</v>
      </c>
      <c r="H108" s="22">
        <f>IFERROR(VLOOKUP(F108, Price_Master!$A$2:$C$201, 3, FALSE), 0)</f>
        <v>0.05</v>
      </c>
      <c r="I108" s="12">
        <f t="shared" si="10"/>
        <v>350</v>
      </c>
    </row>
    <row r="109" spans="1:9" ht="18.75" x14ac:dyDescent="0.3">
      <c r="A109" s="24">
        <v>46098</v>
      </c>
      <c r="B109" s="21"/>
      <c r="C109" s="21"/>
      <c r="D109" s="21"/>
      <c r="E109" s="21" t="s">
        <v>84</v>
      </c>
      <c r="F109" s="21" t="s">
        <v>21</v>
      </c>
      <c r="G109" s="12">
        <f>IFERROR(VLOOKUP(F109, Price_Master!$A$2:$C$201, 2, FALSE), "")</f>
        <v>10000</v>
      </c>
      <c r="H109" s="22">
        <f>IFERROR(VLOOKUP(F109, Price_Master!$A$2:$C$201, 3, FALSE), 0)</f>
        <v>0.05</v>
      </c>
      <c r="I109" s="12">
        <f t="shared" si="10"/>
        <v>500</v>
      </c>
    </row>
    <row r="110" spans="1:9" ht="18.75" x14ac:dyDescent="0.3">
      <c r="A110" s="24">
        <v>46098</v>
      </c>
      <c r="B110" s="21"/>
      <c r="C110" s="21"/>
      <c r="D110" s="21"/>
      <c r="E110" s="21" t="s">
        <v>84</v>
      </c>
      <c r="F110" s="21" t="s">
        <v>24</v>
      </c>
      <c r="G110" s="12">
        <f>IFERROR(VLOOKUP(F110, Price_Master!$A$2:$C$201, 2, FALSE), "")</f>
        <v>7000</v>
      </c>
      <c r="H110" s="22">
        <f>IFERROR(VLOOKUP(F110, Price_Master!$A$2:$C$201, 3, FALSE), 0)</f>
        <v>0.05</v>
      </c>
      <c r="I110" s="12">
        <f t="shared" si="10"/>
        <v>350</v>
      </c>
    </row>
    <row r="111" spans="1:9" ht="18.75" x14ac:dyDescent="0.3">
      <c r="A111" s="24">
        <v>46099</v>
      </c>
      <c r="B111" s="21" t="s">
        <v>179</v>
      </c>
      <c r="C111" s="21" t="s">
        <v>106</v>
      </c>
      <c r="D111" s="21" t="s">
        <v>90</v>
      </c>
      <c r="E111" s="21" t="s">
        <v>142</v>
      </c>
      <c r="F111" s="21" t="s">
        <v>49</v>
      </c>
      <c r="G111" s="12">
        <f>IFERROR(VLOOKUP(F111, Price_Master!$A$2:$C$201, 2, FALSE), "")</f>
        <v>10000</v>
      </c>
      <c r="H111" s="22">
        <f>IFERROR(VLOOKUP(F111, Price_Master!$A$2:$C$201, 3, FALSE), 0)</f>
        <v>0.15</v>
      </c>
      <c r="I111" s="12">
        <f t="shared" ref="I111:I117" si="11">IFERROR(G111*H111, "")</f>
        <v>1500</v>
      </c>
    </row>
    <row r="112" spans="1:9" ht="18.75" x14ac:dyDescent="0.3">
      <c r="A112" s="24">
        <v>46099</v>
      </c>
      <c r="B112" s="21"/>
      <c r="C112" s="21"/>
      <c r="D112" s="21"/>
      <c r="E112" s="21" t="s">
        <v>142</v>
      </c>
      <c r="F112" s="21" t="s">
        <v>121</v>
      </c>
      <c r="G112" s="12">
        <f>IFERROR(VLOOKUP(F112, Price_Master!$A$2:$C$201, 2, FALSE), "")</f>
        <v>25000</v>
      </c>
      <c r="H112" s="22">
        <f>IFERROR(VLOOKUP(F112, Price_Master!$A$2:$C$201, 3, FALSE), 0)</f>
        <v>0.05</v>
      </c>
      <c r="I112" s="12">
        <f t="shared" si="11"/>
        <v>1250</v>
      </c>
    </row>
    <row r="113" spans="1:9" ht="18.75" x14ac:dyDescent="0.3">
      <c r="A113" s="24">
        <v>46099</v>
      </c>
      <c r="B113" s="21" t="s">
        <v>180</v>
      </c>
      <c r="C113" s="21" t="s">
        <v>87</v>
      </c>
      <c r="D113" s="21" t="s">
        <v>79</v>
      </c>
      <c r="E113" s="21" t="s">
        <v>88</v>
      </c>
      <c r="F113" s="21" t="s">
        <v>20</v>
      </c>
      <c r="G113" s="12">
        <f>IFERROR(VLOOKUP(F113, Price_Master!$A$2:$C$201, 2, FALSE), "")</f>
        <v>15000</v>
      </c>
      <c r="H113" s="22">
        <f>IFERROR(VLOOKUP(F113, Price_Master!$A$2:$C$201, 3, FALSE), 0)</f>
        <v>0.05</v>
      </c>
      <c r="I113" s="12">
        <f t="shared" si="11"/>
        <v>750</v>
      </c>
    </row>
    <row r="114" spans="1:9" ht="18.75" x14ac:dyDescent="0.3">
      <c r="A114" s="24">
        <v>46100</v>
      </c>
      <c r="B114" s="21" t="s">
        <v>181</v>
      </c>
      <c r="C114" s="21" t="s">
        <v>182</v>
      </c>
      <c r="D114" s="21" t="s">
        <v>90</v>
      </c>
      <c r="E114" s="21" t="s">
        <v>114</v>
      </c>
      <c r="F114" s="21" t="s">
        <v>7</v>
      </c>
      <c r="G114" s="12">
        <f>IFERROR(VLOOKUP(F114, Price_Master!$A$2:$C$201, 2, FALSE), "")</f>
        <v>30000</v>
      </c>
      <c r="H114" s="22">
        <f>IFERROR(VLOOKUP(F114, Price_Master!$A$2:$C$201, 3, FALSE), 0)</f>
        <v>0.15</v>
      </c>
      <c r="I114" s="12">
        <f t="shared" si="11"/>
        <v>4500</v>
      </c>
    </row>
    <row r="115" spans="1:9" ht="18.75" x14ac:dyDescent="0.3">
      <c r="A115" s="24">
        <v>46100</v>
      </c>
      <c r="B115" s="21"/>
      <c r="C115" s="21"/>
      <c r="D115" s="21"/>
      <c r="E115" s="21" t="s">
        <v>114</v>
      </c>
      <c r="F115" s="21" t="s">
        <v>60</v>
      </c>
      <c r="G115" s="12">
        <f>IFERROR(VLOOKUP(F115, Price_Master!$A$2:$C$201, 2, FALSE), "")</f>
        <v>25000</v>
      </c>
      <c r="H115" s="22">
        <f>IFERROR(VLOOKUP(F115, Price_Master!$A$2:$C$201, 3, FALSE), 0)</f>
        <v>0.05</v>
      </c>
      <c r="I115" s="12">
        <f t="shared" si="11"/>
        <v>1250</v>
      </c>
    </row>
    <row r="116" spans="1:9" ht="18.75" x14ac:dyDescent="0.3">
      <c r="A116" s="24">
        <v>46100</v>
      </c>
      <c r="B116" s="21" t="s">
        <v>183</v>
      </c>
      <c r="C116" s="21" t="s">
        <v>184</v>
      </c>
      <c r="D116" s="21" t="s">
        <v>90</v>
      </c>
      <c r="E116" s="21" t="s">
        <v>114</v>
      </c>
      <c r="F116" s="21" t="s">
        <v>49</v>
      </c>
      <c r="G116" s="12">
        <f>IFERROR(VLOOKUP(F116, Price_Master!$A$2:$C$201, 2, FALSE), "")</f>
        <v>10000</v>
      </c>
      <c r="H116" s="22">
        <f>IFERROR(VLOOKUP(F116, Price_Master!$A$2:$C$201, 3, FALSE), 0)</f>
        <v>0.15</v>
      </c>
      <c r="I116" s="12">
        <f t="shared" si="11"/>
        <v>1500</v>
      </c>
    </row>
    <row r="117" spans="1:9" ht="18.75" x14ac:dyDescent="0.3">
      <c r="A117" s="24">
        <v>46100</v>
      </c>
      <c r="B117" s="21"/>
      <c r="C117" s="21"/>
      <c r="D117" s="21"/>
      <c r="E117" s="21" t="s">
        <v>114</v>
      </c>
      <c r="F117" s="21" t="s">
        <v>95</v>
      </c>
      <c r="G117" s="12">
        <f>IFERROR(VLOOKUP(F117, Price_Master!$A$2:$C$201, 2, FALSE), "")</f>
        <v>30000</v>
      </c>
      <c r="H117" s="22">
        <f>IFERROR(VLOOKUP(F117, Price_Master!$A$2:$C$201, 3, FALSE), 0)</f>
        <v>0.15</v>
      </c>
      <c r="I117" s="12">
        <f t="shared" si="11"/>
        <v>4500</v>
      </c>
    </row>
    <row r="118" spans="1:9" ht="18.75" x14ac:dyDescent="0.3">
      <c r="A118" s="24">
        <v>46101</v>
      </c>
      <c r="B118" s="21" t="s">
        <v>185</v>
      </c>
      <c r="C118" s="21" t="s">
        <v>120</v>
      </c>
      <c r="D118" s="21" t="s">
        <v>90</v>
      </c>
      <c r="E118" s="21" t="s">
        <v>91</v>
      </c>
      <c r="F118" s="21" t="s">
        <v>7</v>
      </c>
      <c r="G118" s="12">
        <f>IFERROR(VLOOKUP(F118, Price_Master!$A$2:$C$201, 2, FALSE), "")</f>
        <v>30000</v>
      </c>
      <c r="H118" s="22">
        <f>IFERROR(VLOOKUP(F118, Price_Master!$A$2:$C$201, 3, FALSE), 0)</f>
        <v>0.15</v>
      </c>
      <c r="I118" s="12">
        <f t="shared" ref="I118:I125" si="12">IFERROR(G118*H118, "")</f>
        <v>4500</v>
      </c>
    </row>
    <row r="119" spans="1:9" ht="18.75" x14ac:dyDescent="0.3">
      <c r="A119" s="24"/>
      <c r="B119" s="21"/>
      <c r="C119" s="21"/>
      <c r="D119" s="21"/>
      <c r="E119" s="21" t="s">
        <v>91</v>
      </c>
      <c r="F119" s="21" t="s">
        <v>50</v>
      </c>
      <c r="G119" s="12">
        <f>IFERROR(VLOOKUP(F119, Price_Master!$A$2:$C$201, 2, FALSE), "")</f>
        <v>7000</v>
      </c>
      <c r="H119" s="22">
        <f>IFERROR(VLOOKUP(F119, Price_Master!$A$2:$C$201, 3, FALSE), 0)</f>
        <v>0.05</v>
      </c>
      <c r="I119" s="12">
        <f t="shared" si="12"/>
        <v>350</v>
      </c>
    </row>
    <row r="120" spans="1:9" ht="18.75" x14ac:dyDescent="0.3">
      <c r="A120" s="24"/>
      <c r="B120" s="21"/>
      <c r="C120" s="21"/>
      <c r="D120" s="21"/>
      <c r="E120" s="21" t="s">
        <v>91</v>
      </c>
      <c r="F120" s="21" t="s">
        <v>22</v>
      </c>
      <c r="G120" s="12">
        <f>IFERROR(VLOOKUP(F120, Price_Master!$A$2:$C$201, 2, FALSE), "")</f>
        <v>7000</v>
      </c>
      <c r="H120" s="22">
        <f>IFERROR(VLOOKUP(F120, Price_Master!$A$2:$C$201, 3, FALSE), 0)</f>
        <v>0.05</v>
      </c>
      <c r="I120" s="12">
        <f t="shared" si="12"/>
        <v>350</v>
      </c>
    </row>
    <row r="121" spans="1:9" ht="18.75" x14ac:dyDescent="0.3">
      <c r="A121" s="24"/>
      <c r="B121" s="21"/>
      <c r="C121" s="21"/>
      <c r="D121" s="21"/>
      <c r="E121" s="21" t="s">
        <v>91</v>
      </c>
      <c r="F121" s="21" t="s">
        <v>24</v>
      </c>
      <c r="G121" s="12">
        <f>IFERROR(VLOOKUP(F121, Price_Master!$A$2:$C$201, 2, FALSE), "")</f>
        <v>7000</v>
      </c>
      <c r="H121" s="22">
        <f>IFERROR(VLOOKUP(F121, Price_Master!$A$2:$C$201, 3, FALSE), 0)</f>
        <v>0.05</v>
      </c>
      <c r="I121" s="12">
        <f t="shared" si="12"/>
        <v>350</v>
      </c>
    </row>
    <row r="122" spans="1:9" ht="18.75" x14ac:dyDescent="0.3">
      <c r="A122" s="24"/>
      <c r="B122" s="21"/>
      <c r="C122" s="21"/>
      <c r="D122" s="21"/>
      <c r="E122" s="21" t="s">
        <v>91</v>
      </c>
      <c r="F122" s="21" t="s">
        <v>21</v>
      </c>
      <c r="G122" s="12">
        <f>IFERROR(VLOOKUP(F122, Price_Master!$A$2:$C$201, 2, FALSE), "")</f>
        <v>10000</v>
      </c>
      <c r="H122" s="22">
        <f>IFERROR(VLOOKUP(F122, Price_Master!$A$2:$C$201, 3, FALSE), 0)</f>
        <v>0.05</v>
      </c>
      <c r="I122" s="12">
        <f t="shared" si="12"/>
        <v>500</v>
      </c>
    </row>
    <row r="123" spans="1:9" ht="18.75" x14ac:dyDescent="0.3">
      <c r="A123" s="24"/>
      <c r="B123" s="21"/>
      <c r="C123" s="21"/>
      <c r="D123" s="21"/>
      <c r="E123" s="21" t="s">
        <v>91</v>
      </c>
      <c r="F123" s="21" t="s">
        <v>44</v>
      </c>
      <c r="G123" s="12">
        <f>IFERROR(VLOOKUP(F123, Price_Master!$A$2:$C$201, 2, FALSE), "")</f>
        <v>25000</v>
      </c>
      <c r="H123" s="22">
        <f>IFERROR(VLOOKUP(F123, Price_Master!$A$2:$C$201, 3, FALSE), 0)</f>
        <v>0.05</v>
      </c>
      <c r="I123" s="12">
        <f t="shared" si="12"/>
        <v>1250</v>
      </c>
    </row>
    <row r="124" spans="1:9" ht="18.75" x14ac:dyDescent="0.3">
      <c r="A124" s="24"/>
      <c r="B124" s="21"/>
      <c r="C124" s="21"/>
      <c r="D124" s="21"/>
      <c r="E124" s="21" t="s">
        <v>91</v>
      </c>
      <c r="F124" s="21" t="s">
        <v>42</v>
      </c>
      <c r="G124" s="12">
        <f>IFERROR(VLOOKUP(F124, Price_Master!$A$2:$C$201, 2, FALSE), "")</f>
        <v>20000</v>
      </c>
      <c r="H124" s="22">
        <f>IFERROR(VLOOKUP(F124, Price_Master!$A$2:$C$201, 3, FALSE), 0)</f>
        <v>0.05</v>
      </c>
      <c r="I124" s="12">
        <f t="shared" si="12"/>
        <v>1000</v>
      </c>
    </row>
    <row r="125" spans="1:9" ht="18.75" x14ac:dyDescent="0.3">
      <c r="A125" s="24"/>
      <c r="B125" s="21"/>
      <c r="C125" s="21"/>
      <c r="D125" s="21"/>
      <c r="E125" s="21" t="s">
        <v>91</v>
      </c>
      <c r="F125" s="21" t="s">
        <v>43</v>
      </c>
      <c r="G125" s="12">
        <f>IFERROR(VLOOKUP(F125, Price_Master!$A$2:$C$201, 2, FALSE), "")</f>
        <v>20000</v>
      </c>
      <c r="H125" s="22">
        <f>IFERROR(VLOOKUP(F125, Price_Master!$A$2:$C$201, 3, FALSE), 0)</f>
        <v>0.05</v>
      </c>
      <c r="I125" s="12">
        <f t="shared" si="12"/>
        <v>1000</v>
      </c>
    </row>
    <row r="126" spans="1:9" ht="18.75" x14ac:dyDescent="0.3">
      <c r="A126" s="24">
        <v>46102</v>
      </c>
      <c r="B126" s="21" t="s">
        <v>186</v>
      </c>
      <c r="C126" s="21" t="s">
        <v>187</v>
      </c>
      <c r="D126" s="21" t="s">
        <v>90</v>
      </c>
      <c r="E126" s="21" t="s">
        <v>91</v>
      </c>
      <c r="F126" s="21" t="s">
        <v>37</v>
      </c>
      <c r="G126" s="12">
        <f>IFERROR(VLOOKUP(F126, Price_Master!$A$2:$C$201, 2, FALSE), "")</f>
        <v>36000</v>
      </c>
      <c r="H126" s="22">
        <f>IFERROR(VLOOKUP(F126, Price_Master!$A$2:$C$201, 3, FALSE), 0)</f>
        <v>0.15</v>
      </c>
      <c r="I126" s="12">
        <f t="shared" ref="I126:I140" si="13">IFERROR(G126*H126, "")</f>
        <v>5400</v>
      </c>
    </row>
    <row r="127" spans="1:9" ht="18.75" x14ac:dyDescent="0.3">
      <c r="A127" s="24"/>
      <c r="B127" s="21"/>
      <c r="C127" s="21"/>
      <c r="D127" s="21"/>
      <c r="E127" s="21" t="s">
        <v>91</v>
      </c>
      <c r="F127" s="21" t="s">
        <v>50</v>
      </c>
      <c r="G127" s="12">
        <f>IFERROR(VLOOKUP(F127, Price_Master!$A$2:$C$201, 2, FALSE), "")</f>
        <v>7000</v>
      </c>
      <c r="H127" s="22">
        <f>IFERROR(VLOOKUP(F127, Price_Master!$A$2:$C$201, 3, FALSE), 0)</f>
        <v>0.05</v>
      </c>
      <c r="I127" s="12">
        <f t="shared" si="13"/>
        <v>350</v>
      </c>
    </row>
    <row r="128" spans="1:9" ht="18.75" x14ac:dyDescent="0.3">
      <c r="A128" s="24"/>
      <c r="B128" s="21"/>
      <c r="C128" s="21"/>
      <c r="D128" s="21"/>
      <c r="E128" s="21" t="s">
        <v>91</v>
      </c>
      <c r="F128" s="21" t="s">
        <v>22</v>
      </c>
      <c r="G128" s="12">
        <f>IFERROR(VLOOKUP(F128, Price_Master!$A$2:$C$201, 2, FALSE), "")</f>
        <v>7000</v>
      </c>
      <c r="H128" s="22">
        <f>IFERROR(VLOOKUP(F128, Price_Master!$A$2:$C$201, 3, FALSE), 0)</f>
        <v>0.05</v>
      </c>
      <c r="I128" s="12">
        <f t="shared" si="13"/>
        <v>350</v>
      </c>
    </row>
    <row r="129" spans="1:9" ht="18.75" x14ac:dyDescent="0.3">
      <c r="A129" s="24"/>
      <c r="B129" s="21" t="s">
        <v>188</v>
      </c>
      <c r="C129" s="21" t="s">
        <v>131</v>
      </c>
      <c r="D129" s="21" t="s">
        <v>79</v>
      </c>
      <c r="E129" s="21" t="s">
        <v>84</v>
      </c>
      <c r="F129" s="21" t="s">
        <v>52</v>
      </c>
      <c r="G129" s="12">
        <f>IFERROR(VLOOKUP(F129, Price_Master!$A$2:$C$201, 2, FALSE), "")</f>
        <v>10000</v>
      </c>
      <c r="H129" s="22">
        <f>IFERROR(VLOOKUP(F129, Price_Master!$A$2:$C$201, 3, FALSE), 0)</f>
        <v>0.15</v>
      </c>
      <c r="I129" s="12">
        <f t="shared" si="13"/>
        <v>1500</v>
      </c>
    </row>
    <row r="130" spans="1:9" ht="18.75" x14ac:dyDescent="0.3">
      <c r="A130" s="24">
        <v>46103</v>
      </c>
      <c r="B130" s="21" t="s">
        <v>189</v>
      </c>
      <c r="C130" s="21" t="s">
        <v>190</v>
      </c>
      <c r="D130" s="21" t="s">
        <v>79</v>
      </c>
      <c r="E130" s="21" t="s">
        <v>91</v>
      </c>
      <c r="F130" s="21" t="s">
        <v>7</v>
      </c>
      <c r="G130" s="12">
        <f>IFERROR(VLOOKUP(F130, Price_Master!$A$2:$C$201, 2, FALSE), "")</f>
        <v>30000</v>
      </c>
      <c r="H130" s="22">
        <f>IFERROR(VLOOKUP(F130, Price_Master!$A$2:$C$201, 3, FALSE), 0)</f>
        <v>0.15</v>
      </c>
      <c r="I130" s="12">
        <f t="shared" si="13"/>
        <v>4500</v>
      </c>
    </row>
    <row r="131" spans="1:9" ht="18.75" x14ac:dyDescent="0.3">
      <c r="A131" s="24"/>
      <c r="B131" s="21"/>
      <c r="C131" s="21"/>
      <c r="D131" s="21"/>
      <c r="E131" s="21" t="s">
        <v>91</v>
      </c>
      <c r="F131" s="21" t="s">
        <v>82</v>
      </c>
      <c r="G131" s="12">
        <f>IFERROR(VLOOKUP(F131, Price_Master!$A$2:$C$201, 2, FALSE), "")</f>
        <v>12000</v>
      </c>
      <c r="H131" s="22">
        <f>IFERROR(VLOOKUP(F131, Price_Master!$A$2:$C$201, 3, FALSE), 0)</f>
        <v>0.05</v>
      </c>
      <c r="I131" s="12">
        <f t="shared" si="13"/>
        <v>600</v>
      </c>
    </row>
    <row r="132" spans="1:9" ht="18.75" x14ac:dyDescent="0.3">
      <c r="A132" s="24"/>
      <c r="B132" s="21" t="s">
        <v>171</v>
      </c>
      <c r="C132" s="21" t="s">
        <v>172</v>
      </c>
      <c r="D132" s="21" t="s">
        <v>90</v>
      </c>
      <c r="E132" s="21" t="s">
        <v>114</v>
      </c>
      <c r="F132" s="21" t="s">
        <v>8</v>
      </c>
      <c r="G132" s="12">
        <f>IFERROR(VLOOKUP(F132, Price_Master!$A$2:$C$201, 2, FALSE), "")</f>
        <v>12000</v>
      </c>
      <c r="H132" s="22">
        <f>IFERROR(VLOOKUP(F132, Price_Master!$A$2:$C$201, 3, FALSE), 0)</f>
        <v>0.05</v>
      </c>
      <c r="I132" s="12">
        <f t="shared" si="13"/>
        <v>600</v>
      </c>
    </row>
    <row r="133" spans="1:9" ht="18.75" x14ac:dyDescent="0.3">
      <c r="A133" s="24"/>
      <c r="B133" s="21" t="s">
        <v>191</v>
      </c>
      <c r="C133" s="21" t="s">
        <v>192</v>
      </c>
      <c r="D133" s="21" t="s">
        <v>90</v>
      </c>
      <c r="E133" s="21" t="s">
        <v>84</v>
      </c>
      <c r="F133" s="21" t="s">
        <v>50</v>
      </c>
      <c r="G133" s="12">
        <f>IFERROR(VLOOKUP(F133, Price_Master!$A$2:$C$201, 2, FALSE), "")</f>
        <v>7000</v>
      </c>
      <c r="H133" s="22">
        <f>IFERROR(VLOOKUP(F133, Price_Master!$A$2:$C$201, 3, FALSE), 0)</f>
        <v>0.05</v>
      </c>
      <c r="I133" s="12">
        <f t="shared" si="13"/>
        <v>350</v>
      </c>
    </row>
    <row r="134" spans="1:9" ht="18.75" x14ac:dyDescent="0.3">
      <c r="A134" s="24"/>
      <c r="B134" s="21"/>
      <c r="C134" s="21"/>
      <c r="D134" s="21"/>
      <c r="E134" s="21" t="s">
        <v>84</v>
      </c>
      <c r="F134" s="21" t="s">
        <v>22</v>
      </c>
      <c r="G134" s="12">
        <f>IFERROR(VLOOKUP(F134, Price_Master!$A$2:$C$201, 2, FALSE), "")</f>
        <v>7000</v>
      </c>
      <c r="H134" s="22">
        <f>IFERROR(VLOOKUP(F134, Price_Master!$A$2:$C$201, 3, FALSE), 0)</f>
        <v>0.05</v>
      </c>
      <c r="I134" s="12">
        <f t="shared" si="13"/>
        <v>350</v>
      </c>
    </row>
    <row r="135" spans="1:9" ht="18.75" x14ac:dyDescent="0.3">
      <c r="A135" s="24"/>
      <c r="B135" s="21"/>
      <c r="C135" s="21"/>
      <c r="D135" s="21"/>
      <c r="E135" s="21" t="s">
        <v>84</v>
      </c>
      <c r="F135" s="21" t="s">
        <v>21</v>
      </c>
      <c r="G135" s="12">
        <f>IFERROR(VLOOKUP(F135, Price_Master!$A$2:$C$201, 2, FALSE), "")</f>
        <v>10000</v>
      </c>
      <c r="H135" s="22">
        <f>IFERROR(VLOOKUP(F135, Price_Master!$A$2:$C$201, 3, FALSE), 0)</f>
        <v>0.05</v>
      </c>
      <c r="I135" s="12">
        <f t="shared" si="13"/>
        <v>500</v>
      </c>
    </row>
    <row r="136" spans="1:9" ht="18.75" x14ac:dyDescent="0.3">
      <c r="A136" s="24"/>
      <c r="B136" s="21"/>
      <c r="C136" s="21"/>
      <c r="D136" s="21"/>
      <c r="E136" s="21" t="s">
        <v>84</v>
      </c>
      <c r="F136" s="21" t="s">
        <v>24</v>
      </c>
      <c r="G136" s="12">
        <f>IFERROR(VLOOKUP(F136, Price_Master!$A$2:$C$201, 2, FALSE), "")</f>
        <v>7000</v>
      </c>
      <c r="H136" s="22">
        <f>IFERROR(VLOOKUP(F136, Price_Master!$A$2:$C$201, 3, FALSE), 0)</f>
        <v>0.05</v>
      </c>
      <c r="I136" s="12">
        <f t="shared" si="13"/>
        <v>350</v>
      </c>
    </row>
    <row r="137" spans="1:9" ht="18.75" x14ac:dyDescent="0.3">
      <c r="A137" s="24"/>
      <c r="B137" s="21" t="s">
        <v>193</v>
      </c>
      <c r="C137" s="21" t="s">
        <v>102</v>
      </c>
      <c r="D137" s="21" t="s">
        <v>79</v>
      </c>
      <c r="E137" s="21" t="s">
        <v>84</v>
      </c>
      <c r="F137" s="21" t="s">
        <v>50</v>
      </c>
      <c r="G137" s="12">
        <f>IFERROR(VLOOKUP(F137, Price_Master!$A$2:$C$201, 2, FALSE), "")</f>
        <v>7000</v>
      </c>
      <c r="H137" s="22">
        <f>IFERROR(VLOOKUP(F137, Price_Master!$A$2:$C$201, 3, FALSE), 0)</f>
        <v>0.05</v>
      </c>
      <c r="I137" s="12">
        <f t="shared" si="13"/>
        <v>350</v>
      </c>
    </row>
    <row r="138" spans="1:9" ht="18.75" x14ac:dyDescent="0.3">
      <c r="A138" s="24"/>
      <c r="B138" s="21"/>
      <c r="C138" s="21"/>
      <c r="D138" s="21"/>
      <c r="E138" s="21" t="s">
        <v>84</v>
      </c>
      <c r="F138" s="21" t="s">
        <v>22</v>
      </c>
      <c r="G138" s="12">
        <f>IFERROR(VLOOKUP(F138, Price_Master!$A$2:$C$201, 2, FALSE), "")</f>
        <v>7000</v>
      </c>
      <c r="H138" s="22">
        <f>IFERROR(VLOOKUP(F138, Price_Master!$A$2:$C$201, 3, FALSE), 0)</f>
        <v>0.05</v>
      </c>
      <c r="I138" s="12">
        <f t="shared" si="13"/>
        <v>350</v>
      </c>
    </row>
    <row r="139" spans="1:9" ht="18.75" x14ac:dyDescent="0.3">
      <c r="A139" s="24"/>
      <c r="B139" s="21"/>
      <c r="C139" s="21"/>
      <c r="D139" s="21"/>
      <c r="E139" s="21" t="s">
        <v>84</v>
      </c>
      <c r="F139" s="21" t="s">
        <v>21</v>
      </c>
      <c r="G139" s="12">
        <f>IFERROR(VLOOKUP(F139, Price_Master!$A$2:$C$201, 2, FALSE), "")</f>
        <v>10000</v>
      </c>
      <c r="H139" s="22">
        <f>IFERROR(VLOOKUP(F139, Price_Master!$A$2:$C$201, 3, FALSE), 0)</f>
        <v>0.05</v>
      </c>
      <c r="I139" s="12">
        <f t="shared" si="13"/>
        <v>500</v>
      </c>
    </row>
    <row r="140" spans="1:9" ht="18.75" x14ac:dyDescent="0.3">
      <c r="A140" s="24"/>
      <c r="B140" s="21"/>
      <c r="C140" s="21"/>
      <c r="D140" s="21"/>
      <c r="E140" s="21" t="s">
        <v>84</v>
      </c>
      <c r="F140" s="21" t="s">
        <v>24</v>
      </c>
      <c r="G140" s="12">
        <f>IFERROR(VLOOKUP(F140, Price_Master!$A$2:$C$201, 2, FALSE), "")</f>
        <v>7000</v>
      </c>
      <c r="H140" s="22">
        <f>IFERROR(VLOOKUP(F140, Price_Master!$A$2:$C$201, 3, FALSE), 0)</f>
        <v>0.05</v>
      </c>
      <c r="I140" s="12">
        <f t="shared" si="13"/>
        <v>350</v>
      </c>
    </row>
    <row r="141" spans="1:9" ht="18.75" x14ac:dyDescent="0.3">
      <c r="A141" s="24">
        <v>46104</v>
      </c>
      <c r="B141" s="21" t="s">
        <v>194</v>
      </c>
      <c r="C141" s="21" t="s">
        <v>156</v>
      </c>
      <c r="D141" s="21" t="s">
        <v>90</v>
      </c>
      <c r="E141" s="21" t="s">
        <v>114</v>
      </c>
      <c r="F141" s="21" t="s">
        <v>8</v>
      </c>
      <c r="G141" s="12">
        <f>IFERROR(VLOOKUP(F141, Price_Master!$A$2:$C$201, 2, FALSE), "")</f>
        <v>12000</v>
      </c>
      <c r="H141" s="22">
        <f>IFERROR(VLOOKUP(F141, Price_Master!$A$2:$C$201, 3, FALSE), 0)</f>
        <v>0.05</v>
      </c>
      <c r="I141" s="12">
        <f t="shared" ref="I141:I165" si="14">IFERROR(G141*H141, "")</f>
        <v>600</v>
      </c>
    </row>
    <row r="142" spans="1:9" ht="18.75" x14ac:dyDescent="0.3">
      <c r="A142" s="24"/>
      <c r="B142" s="21" t="s">
        <v>195</v>
      </c>
      <c r="C142" s="21" t="s">
        <v>196</v>
      </c>
      <c r="D142" s="21" t="s">
        <v>79</v>
      </c>
      <c r="E142" s="21" t="s">
        <v>114</v>
      </c>
      <c r="F142" s="21" t="s">
        <v>57</v>
      </c>
      <c r="G142" s="12">
        <f>IFERROR(VLOOKUP(F142, Price_Master!$A$2:$C$201, 2, FALSE), "")</f>
        <v>10000</v>
      </c>
      <c r="H142" s="22">
        <f>IFERROR(VLOOKUP(F142, Price_Master!$A$2:$C$201, 3, FALSE), 0)</f>
        <v>0.05</v>
      </c>
      <c r="I142" s="12">
        <f t="shared" si="14"/>
        <v>500</v>
      </c>
    </row>
    <row r="143" spans="1:9" ht="18.75" x14ac:dyDescent="0.3">
      <c r="A143" s="24"/>
      <c r="B143" s="21"/>
      <c r="C143" s="21"/>
      <c r="D143" s="21"/>
      <c r="E143" s="21" t="s">
        <v>114</v>
      </c>
      <c r="F143" s="21" t="s">
        <v>58</v>
      </c>
      <c r="G143" s="12">
        <f>IFERROR(VLOOKUP(F143, Price_Master!$A$2:$C$201, 2, FALSE), "")</f>
        <v>12000</v>
      </c>
      <c r="H143" s="22">
        <f>IFERROR(VLOOKUP(F143, Price_Master!$A$2:$C$201, 3, FALSE), 0)</f>
        <v>0.05</v>
      </c>
      <c r="I143" s="12">
        <f t="shared" si="14"/>
        <v>600</v>
      </c>
    </row>
    <row r="144" spans="1:9" ht="18.75" x14ac:dyDescent="0.3">
      <c r="A144" s="24">
        <v>46106</v>
      </c>
      <c r="B144" s="21" t="s">
        <v>197</v>
      </c>
      <c r="C144" s="21" t="s">
        <v>198</v>
      </c>
      <c r="D144" s="21" t="s">
        <v>90</v>
      </c>
      <c r="E144" s="21" t="s">
        <v>114</v>
      </c>
      <c r="F144" s="21" t="s">
        <v>7</v>
      </c>
      <c r="G144" s="12">
        <f>IFERROR(VLOOKUP(F144, Price_Master!$A$2:$C$201, 2, FALSE), "")</f>
        <v>30000</v>
      </c>
      <c r="H144" s="22">
        <f>IFERROR(VLOOKUP(F144, Price_Master!$A$2:$C$201, 3, FALSE), 0)</f>
        <v>0.15</v>
      </c>
      <c r="I144" s="12">
        <f t="shared" si="14"/>
        <v>4500</v>
      </c>
    </row>
    <row r="145" spans="1:9" ht="18.75" x14ac:dyDescent="0.3">
      <c r="A145" s="24">
        <v>46108</v>
      </c>
      <c r="B145" s="21" t="s">
        <v>199</v>
      </c>
      <c r="C145" s="21" t="s">
        <v>93</v>
      </c>
      <c r="D145" s="21" t="s">
        <v>90</v>
      </c>
      <c r="E145" s="21" t="s">
        <v>94</v>
      </c>
      <c r="F145" s="21" t="s">
        <v>7</v>
      </c>
      <c r="G145" s="12">
        <f>IFERROR(VLOOKUP(F145, Price_Master!$A$2:$C$201, 2, FALSE), "")</f>
        <v>30000</v>
      </c>
      <c r="H145" s="22">
        <f>IFERROR(VLOOKUP(F145, Price_Master!$A$2:$C$201, 3, FALSE), 0)</f>
        <v>0.15</v>
      </c>
      <c r="I145" s="12">
        <f t="shared" si="14"/>
        <v>4500</v>
      </c>
    </row>
    <row r="146" spans="1:9" ht="18.75" x14ac:dyDescent="0.3">
      <c r="A146" s="24"/>
      <c r="B146" s="21"/>
      <c r="C146" s="21"/>
      <c r="D146" s="21"/>
      <c r="E146" s="21" t="s">
        <v>94</v>
      </c>
      <c r="F146" s="21" t="s">
        <v>13</v>
      </c>
      <c r="G146" s="12">
        <f>IFERROR(VLOOKUP(F146, Price_Master!$A$2:$C$201, 2, FALSE), "")</f>
        <v>10000</v>
      </c>
      <c r="H146" s="22">
        <f>IFERROR(VLOOKUP(F146, Price_Master!$A$2:$C$201, 3, FALSE), 0)</f>
        <v>0.15</v>
      </c>
      <c r="I146" s="12">
        <f t="shared" si="14"/>
        <v>1500</v>
      </c>
    </row>
    <row r="147" spans="1:9" ht="18.75" x14ac:dyDescent="0.3">
      <c r="A147" s="24"/>
      <c r="B147" s="21"/>
      <c r="C147" s="21"/>
      <c r="D147" s="21"/>
      <c r="E147" s="21" t="s">
        <v>94</v>
      </c>
      <c r="F147" s="21" t="s">
        <v>57</v>
      </c>
      <c r="G147" s="12">
        <f>IFERROR(VLOOKUP(F147, Price_Master!$A$2:$C$201, 2, FALSE), "")</f>
        <v>10000</v>
      </c>
      <c r="H147" s="22">
        <f>IFERROR(VLOOKUP(F147, Price_Master!$A$2:$C$201, 3, FALSE), 0)</f>
        <v>0.05</v>
      </c>
      <c r="I147" s="12">
        <f t="shared" si="14"/>
        <v>500</v>
      </c>
    </row>
    <row r="148" spans="1:9" ht="18.75" x14ac:dyDescent="0.3">
      <c r="A148" s="24"/>
      <c r="B148" s="21"/>
      <c r="C148" s="21"/>
      <c r="D148" s="21"/>
      <c r="E148" s="21" t="s">
        <v>94</v>
      </c>
      <c r="F148" s="21" t="s">
        <v>58</v>
      </c>
      <c r="G148" s="12">
        <f>IFERROR(VLOOKUP(F148, Price_Master!$A$2:$C$201, 2, FALSE), "")</f>
        <v>12000</v>
      </c>
      <c r="H148" s="22">
        <f>IFERROR(VLOOKUP(F148, Price_Master!$A$2:$C$201, 3, FALSE), 0)</f>
        <v>0.05</v>
      </c>
      <c r="I148" s="12">
        <f t="shared" si="14"/>
        <v>600</v>
      </c>
    </row>
    <row r="149" spans="1:9" ht="18.75" x14ac:dyDescent="0.3">
      <c r="A149" s="24"/>
      <c r="B149" s="21"/>
      <c r="C149" s="21"/>
      <c r="D149" s="21"/>
      <c r="E149" s="21" t="s">
        <v>94</v>
      </c>
      <c r="F149" s="21" t="s">
        <v>25</v>
      </c>
      <c r="G149" s="12">
        <f>IFERROR(VLOOKUP(F149, Price_Master!$A$2:$C$201, 2, FALSE), "")</f>
        <v>12000</v>
      </c>
      <c r="H149" s="22">
        <f>IFERROR(VLOOKUP(F149, Price_Master!$A$2:$C$201, 3, FALSE), 0)</f>
        <v>0.05</v>
      </c>
      <c r="I149" s="12">
        <f t="shared" si="14"/>
        <v>600</v>
      </c>
    </row>
    <row r="150" spans="1:9" ht="18.75" x14ac:dyDescent="0.3">
      <c r="A150" s="24"/>
      <c r="B150" s="21"/>
      <c r="C150" s="21"/>
      <c r="D150" s="21"/>
      <c r="E150" s="21" t="s">
        <v>94</v>
      </c>
      <c r="F150" s="21" t="s">
        <v>60</v>
      </c>
      <c r="G150" s="12">
        <f>IFERROR(VLOOKUP(F150, Price_Master!$A$2:$C$201, 2, FALSE), "")</f>
        <v>25000</v>
      </c>
      <c r="H150" s="22">
        <f>IFERROR(VLOOKUP(F150, Price_Master!$A$2:$C$201, 3, FALSE), 0)</f>
        <v>0.05</v>
      </c>
      <c r="I150" s="12">
        <f t="shared" si="14"/>
        <v>1250</v>
      </c>
    </row>
    <row r="151" spans="1:9" ht="18.75" x14ac:dyDescent="0.3">
      <c r="A151" s="24"/>
      <c r="B151" s="21"/>
      <c r="C151" s="21"/>
      <c r="D151" s="21"/>
      <c r="E151" s="21" t="s">
        <v>94</v>
      </c>
      <c r="F151" s="21" t="s">
        <v>8</v>
      </c>
      <c r="G151" s="12">
        <f>IFERROR(VLOOKUP(F151, Price_Master!$A$2:$C$201, 2, FALSE), "")</f>
        <v>12000</v>
      </c>
      <c r="H151" s="22">
        <f>IFERROR(VLOOKUP(F151, Price_Master!$A$2:$C$201, 3, FALSE), 0)</f>
        <v>0.05</v>
      </c>
      <c r="I151" s="12">
        <f t="shared" si="14"/>
        <v>600</v>
      </c>
    </row>
    <row r="152" spans="1:9" ht="18.75" x14ac:dyDescent="0.3">
      <c r="A152" s="24"/>
      <c r="B152" s="21"/>
      <c r="C152" s="21"/>
      <c r="D152" s="21"/>
      <c r="E152" s="21" t="s">
        <v>94</v>
      </c>
      <c r="F152" s="21" t="s">
        <v>49</v>
      </c>
      <c r="G152" s="12">
        <f>IFERROR(VLOOKUP(F152, Price_Master!$A$2:$C$201, 2, FALSE), "")</f>
        <v>10000</v>
      </c>
      <c r="H152" s="22">
        <f>IFERROR(VLOOKUP(F152, Price_Master!$A$2:$C$201, 3, FALSE), 0)</f>
        <v>0.15</v>
      </c>
      <c r="I152" s="12">
        <f t="shared" si="14"/>
        <v>1500</v>
      </c>
    </row>
    <row r="153" spans="1:9" ht="18.75" x14ac:dyDescent="0.3">
      <c r="A153" s="24"/>
      <c r="B153" s="21"/>
      <c r="C153" s="21"/>
      <c r="D153" s="21"/>
      <c r="E153" s="21" t="s">
        <v>94</v>
      </c>
      <c r="F153" s="21" t="s">
        <v>37</v>
      </c>
      <c r="G153" s="12">
        <f>IFERROR(VLOOKUP(F153, Price_Master!$A$2:$C$201, 2, FALSE), "")</f>
        <v>36000</v>
      </c>
      <c r="H153" s="22">
        <f>IFERROR(VLOOKUP(F153, Price_Master!$A$2:$C$201, 3, FALSE), 0)</f>
        <v>0.15</v>
      </c>
      <c r="I153" s="12">
        <f t="shared" si="14"/>
        <v>5400</v>
      </c>
    </row>
    <row r="154" spans="1:9" ht="18.75" x14ac:dyDescent="0.3">
      <c r="A154" s="24"/>
      <c r="B154" s="21"/>
      <c r="C154" s="21"/>
      <c r="D154" s="21"/>
      <c r="E154" s="21" t="s">
        <v>94</v>
      </c>
      <c r="F154" s="21" t="s">
        <v>71</v>
      </c>
      <c r="G154" s="12">
        <f>IFERROR(VLOOKUP(F154, Price_Master!$A$2:$C$201, 2, FALSE), "")</f>
        <v>28000</v>
      </c>
      <c r="H154" s="22">
        <f>IFERROR(VLOOKUP(F154, Price_Master!$A$2:$C$201, 3, FALSE), 0)</f>
        <v>0</v>
      </c>
      <c r="I154" s="12">
        <f t="shared" si="14"/>
        <v>0</v>
      </c>
    </row>
    <row r="155" spans="1:9" ht="18.75" x14ac:dyDescent="0.3">
      <c r="A155" s="24"/>
      <c r="B155" s="21" t="s">
        <v>200</v>
      </c>
      <c r="C155" s="21" t="s">
        <v>106</v>
      </c>
      <c r="D155" s="21" t="s">
        <v>79</v>
      </c>
      <c r="E155" s="21" t="s">
        <v>94</v>
      </c>
      <c r="F155" s="21" t="s">
        <v>7</v>
      </c>
      <c r="G155" s="12">
        <f>IFERROR(VLOOKUP(F155, Price_Master!$A$2:$C$201, 2, FALSE), "")</f>
        <v>30000</v>
      </c>
      <c r="H155" s="22">
        <f>IFERROR(VLOOKUP(F155, Price_Master!$A$2:$C$201, 3, FALSE), 0)</f>
        <v>0.15</v>
      </c>
      <c r="I155" s="12">
        <f t="shared" si="14"/>
        <v>4500</v>
      </c>
    </row>
    <row r="156" spans="1:9" ht="18.75" x14ac:dyDescent="0.3">
      <c r="A156" s="24"/>
      <c r="B156" s="21"/>
      <c r="C156" s="21"/>
      <c r="D156" s="21"/>
      <c r="E156" s="21" t="s">
        <v>94</v>
      </c>
      <c r="F156" s="21" t="s">
        <v>42</v>
      </c>
      <c r="G156" s="12">
        <f>IFERROR(VLOOKUP(F156, Price_Master!$A$2:$C$201, 2, FALSE), "")</f>
        <v>20000</v>
      </c>
      <c r="H156" s="22">
        <f>IFERROR(VLOOKUP(F156, Price_Master!$A$2:$C$201, 3, FALSE), 0)</f>
        <v>0.05</v>
      </c>
      <c r="I156" s="12">
        <f t="shared" si="14"/>
        <v>1000</v>
      </c>
    </row>
    <row r="157" spans="1:9" ht="18.75" x14ac:dyDescent="0.3">
      <c r="A157" s="24"/>
      <c r="B157" s="21"/>
      <c r="C157" s="21"/>
      <c r="D157" s="21"/>
      <c r="E157" s="21" t="s">
        <v>94</v>
      </c>
      <c r="F157" s="21" t="s">
        <v>43</v>
      </c>
      <c r="G157" s="12">
        <f>IFERROR(VLOOKUP(F157, Price_Master!$A$2:$C$201, 2, FALSE), "")</f>
        <v>20000</v>
      </c>
      <c r="H157" s="22">
        <f>IFERROR(VLOOKUP(F157, Price_Master!$A$2:$C$201, 3, FALSE), 0)</f>
        <v>0.05</v>
      </c>
      <c r="I157" s="12">
        <f t="shared" si="14"/>
        <v>1000</v>
      </c>
    </row>
    <row r="158" spans="1:9" ht="18.75" x14ac:dyDescent="0.3">
      <c r="A158" s="24"/>
      <c r="B158" s="21"/>
      <c r="C158" s="21"/>
      <c r="D158" s="21"/>
      <c r="E158" s="21" t="s">
        <v>94</v>
      </c>
      <c r="F158" s="21" t="s">
        <v>44</v>
      </c>
      <c r="G158" s="12">
        <f>IFERROR(VLOOKUP(F158, Price_Master!$A$2:$C$201, 2, FALSE), "")</f>
        <v>25000</v>
      </c>
      <c r="H158" s="22">
        <f>IFERROR(VLOOKUP(F158, Price_Master!$A$2:$C$201, 3, FALSE), 0)</f>
        <v>0.05</v>
      </c>
      <c r="I158" s="12">
        <f t="shared" si="14"/>
        <v>1250</v>
      </c>
    </row>
    <row r="159" spans="1:9" ht="18.75" x14ac:dyDescent="0.3">
      <c r="A159" s="24"/>
      <c r="B159" s="21" t="s">
        <v>201</v>
      </c>
      <c r="C159" s="21" t="s">
        <v>126</v>
      </c>
      <c r="D159" s="21" t="s">
        <v>79</v>
      </c>
      <c r="E159" s="21" t="s">
        <v>202</v>
      </c>
      <c r="F159" s="21" t="s">
        <v>7</v>
      </c>
      <c r="G159" s="12">
        <f>IFERROR(VLOOKUP(F159, Price_Master!$A$2:$C$201, 2, FALSE), "")</f>
        <v>30000</v>
      </c>
      <c r="H159" s="22">
        <f>IFERROR(VLOOKUP(F159, Price_Master!$A$2:$C$201, 3, FALSE), 0)</f>
        <v>0.15</v>
      </c>
      <c r="I159" s="12">
        <f t="shared" si="14"/>
        <v>4500</v>
      </c>
    </row>
    <row r="160" spans="1:9" ht="18.75" x14ac:dyDescent="0.3">
      <c r="A160" s="24"/>
      <c r="B160" s="21"/>
      <c r="C160" s="21"/>
      <c r="D160" s="21"/>
      <c r="E160" s="21" t="s">
        <v>202</v>
      </c>
      <c r="F160" s="21" t="s">
        <v>48</v>
      </c>
      <c r="G160" s="12">
        <f>IFERROR(VLOOKUP(F160, Price_Master!$A$2:$C$201, 2, FALSE), "")</f>
        <v>25000</v>
      </c>
      <c r="H160" s="22">
        <f>IFERROR(VLOOKUP(F160, Price_Master!$A$2:$C$201, 3, FALSE), 0)</f>
        <v>0</v>
      </c>
      <c r="I160" s="12">
        <f t="shared" si="14"/>
        <v>0</v>
      </c>
    </row>
    <row r="161" spans="1:9" ht="18.75" x14ac:dyDescent="0.3">
      <c r="A161" s="24"/>
      <c r="B161" s="21"/>
      <c r="C161" s="21"/>
      <c r="D161" s="21"/>
      <c r="E161" s="21" t="s">
        <v>202</v>
      </c>
      <c r="F161" s="21" t="s">
        <v>50</v>
      </c>
      <c r="G161" s="12">
        <f>IFERROR(VLOOKUP(F161, Price_Master!$A$2:$C$201, 2, FALSE), "")</f>
        <v>7000</v>
      </c>
      <c r="H161" s="22">
        <f>IFERROR(VLOOKUP(F161, Price_Master!$A$2:$C$201, 3, FALSE), 0)</f>
        <v>0.05</v>
      </c>
      <c r="I161" s="12">
        <f t="shared" si="14"/>
        <v>350</v>
      </c>
    </row>
    <row r="162" spans="1:9" ht="18.75" x14ac:dyDescent="0.3">
      <c r="A162" s="24"/>
      <c r="B162" s="21"/>
      <c r="C162" s="21"/>
      <c r="D162" s="21"/>
      <c r="E162" s="21" t="s">
        <v>202</v>
      </c>
      <c r="F162" s="21" t="s">
        <v>22</v>
      </c>
      <c r="G162" s="12">
        <f>IFERROR(VLOOKUP(F162, Price_Master!$A$2:$C$201, 2, FALSE), "")</f>
        <v>7000</v>
      </c>
      <c r="H162" s="22">
        <f>IFERROR(VLOOKUP(F162, Price_Master!$A$2:$C$201, 3, FALSE), 0)</f>
        <v>0.05</v>
      </c>
      <c r="I162" s="12">
        <f t="shared" si="14"/>
        <v>350</v>
      </c>
    </row>
    <row r="163" spans="1:9" ht="18.75" x14ac:dyDescent="0.3">
      <c r="A163" s="24"/>
      <c r="B163" s="21"/>
      <c r="C163" s="21"/>
      <c r="D163" s="21"/>
      <c r="E163" s="21" t="s">
        <v>202</v>
      </c>
      <c r="F163" s="21" t="s">
        <v>21</v>
      </c>
      <c r="G163" s="12">
        <f>IFERROR(VLOOKUP(F163, Price_Master!$A$2:$C$201, 2, FALSE), "")</f>
        <v>10000</v>
      </c>
      <c r="H163" s="22">
        <f>IFERROR(VLOOKUP(F163, Price_Master!$A$2:$C$201, 3, FALSE), 0)</f>
        <v>0.05</v>
      </c>
      <c r="I163" s="12">
        <f t="shared" si="14"/>
        <v>500</v>
      </c>
    </row>
    <row r="164" spans="1:9" ht="18.75" x14ac:dyDescent="0.3">
      <c r="A164" s="24"/>
      <c r="B164" s="21"/>
      <c r="C164" s="21"/>
      <c r="D164" s="21"/>
      <c r="E164" s="21" t="s">
        <v>202</v>
      </c>
      <c r="F164" s="21" t="s">
        <v>203</v>
      </c>
      <c r="G164" s="12">
        <f>IFERROR(VLOOKUP(F164, Price_Master!$A$2:$C$201, 2, FALSE), "")</f>
        <v>7000</v>
      </c>
      <c r="H164" s="22">
        <f>IFERROR(VLOOKUP(F164, Price_Master!$A$2:$C$201, 3, FALSE), 0)</f>
        <v>0.05</v>
      </c>
      <c r="I164" s="12">
        <f t="shared" si="14"/>
        <v>350</v>
      </c>
    </row>
    <row r="165" spans="1:9" ht="18.75" x14ac:dyDescent="0.3">
      <c r="A165" s="24"/>
      <c r="B165" s="21"/>
      <c r="C165" s="21"/>
      <c r="D165" s="21"/>
      <c r="E165" s="21" t="s">
        <v>202</v>
      </c>
      <c r="F165" s="21" t="s">
        <v>60</v>
      </c>
      <c r="G165" s="12">
        <f>IFERROR(VLOOKUP(F165, Price_Master!$A$2:$C$201, 2, FALSE), "")</f>
        <v>25000</v>
      </c>
      <c r="H165" s="22">
        <f>IFERROR(VLOOKUP(F165, Price_Master!$A$2:$C$201, 3, FALSE), 0)</f>
        <v>0.05</v>
      </c>
      <c r="I165" s="12">
        <f t="shared" si="14"/>
        <v>1250</v>
      </c>
    </row>
    <row r="166" spans="1:9" ht="18.75" x14ac:dyDescent="0.3">
      <c r="A166" s="24">
        <v>46110</v>
      </c>
      <c r="B166" s="21" t="s">
        <v>204</v>
      </c>
      <c r="C166" s="21" t="s">
        <v>131</v>
      </c>
      <c r="D166" s="21" t="s">
        <v>79</v>
      </c>
      <c r="E166" s="21" t="s">
        <v>84</v>
      </c>
      <c r="F166" s="21" t="s">
        <v>23</v>
      </c>
      <c r="G166" s="12">
        <f>IFERROR(VLOOKUP(F166, Price_Master!$A$2:$C$201, 2, FALSE), "")</f>
        <v>25000</v>
      </c>
      <c r="H166" s="22">
        <f>IFERROR(VLOOKUP(F166, Price_Master!$A$2:$C$201, 3, FALSE), 0)</f>
        <v>0.05</v>
      </c>
      <c r="I166" s="12">
        <f t="shared" ref="I166:I181" si="15">IFERROR(G166*H166, "")</f>
        <v>1250</v>
      </c>
    </row>
    <row r="167" spans="1:9" ht="18.75" x14ac:dyDescent="0.3">
      <c r="A167" s="24"/>
      <c r="B167" s="21" t="s">
        <v>205</v>
      </c>
      <c r="C167" s="21" t="s">
        <v>206</v>
      </c>
      <c r="D167" s="21" t="s">
        <v>79</v>
      </c>
      <c r="E167" s="21" t="s">
        <v>94</v>
      </c>
      <c r="F167" s="21" t="s">
        <v>7</v>
      </c>
      <c r="G167" s="12">
        <f>IFERROR(VLOOKUP(F167, Price_Master!$A$2:$C$201, 2, FALSE), "")</f>
        <v>30000</v>
      </c>
      <c r="H167" s="22">
        <f>IFERROR(VLOOKUP(F167, Price_Master!$A$2:$C$201, 3, FALSE), 0)</f>
        <v>0.15</v>
      </c>
      <c r="I167" s="12">
        <f t="shared" si="15"/>
        <v>4500</v>
      </c>
    </row>
    <row r="168" spans="1:9" ht="18.75" x14ac:dyDescent="0.3">
      <c r="A168" s="24"/>
      <c r="B168" s="21"/>
      <c r="C168" s="21"/>
      <c r="D168" s="21"/>
      <c r="E168" s="21" t="s">
        <v>94</v>
      </c>
      <c r="F168" s="21" t="s">
        <v>13</v>
      </c>
      <c r="G168" s="12">
        <f>IFERROR(VLOOKUP(F168, Price_Master!$A$2:$C$201, 2, FALSE), "")</f>
        <v>10000</v>
      </c>
      <c r="H168" s="22">
        <f>IFERROR(VLOOKUP(F168, Price_Master!$A$2:$C$201, 3, FALSE), 0)</f>
        <v>0.15</v>
      </c>
      <c r="I168" s="12">
        <f t="shared" si="15"/>
        <v>1500</v>
      </c>
    </row>
    <row r="169" spans="1:9" ht="18.75" x14ac:dyDescent="0.3">
      <c r="A169" s="24"/>
      <c r="B169" s="21"/>
      <c r="C169" s="21"/>
      <c r="D169" s="21"/>
      <c r="E169" s="21" t="s">
        <v>94</v>
      </c>
      <c r="F169" s="21" t="s">
        <v>49</v>
      </c>
      <c r="G169" s="12">
        <f>IFERROR(VLOOKUP(F169, Price_Master!$A$2:$C$201, 2, FALSE), "")</f>
        <v>10000</v>
      </c>
      <c r="H169" s="22">
        <f>IFERROR(VLOOKUP(F169, Price_Master!$A$2:$C$201, 3, FALSE), 0)</f>
        <v>0.15</v>
      </c>
      <c r="I169" s="12">
        <f t="shared" si="15"/>
        <v>1500</v>
      </c>
    </row>
    <row r="170" spans="1:9" ht="18.75" x14ac:dyDescent="0.3">
      <c r="A170" s="24"/>
      <c r="B170" s="21"/>
      <c r="C170" s="21"/>
      <c r="D170" s="21"/>
      <c r="E170" s="21" t="s">
        <v>94</v>
      </c>
      <c r="F170" s="21" t="s">
        <v>37</v>
      </c>
      <c r="G170" s="12">
        <f>IFERROR(VLOOKUP(F170, Price_Master!$A$2:$C$201, 2, FALSE), "")</f>
        <v>36000</v>
      </c>
      <c r="H170" s="22">
        <f>IFERROR(VLOOKUP(F170, Price_Master!$A$2:$C$201, 3, FALSE), 0)</f>
        <v>0.15</v>
      </c>
      <c r="I170" s="12">
        <f t="shared" si="15"/>
        <v>5400</v>
      </c>
    </row>
    <row r="171" spans="1:9" ht="18.75" x14ac:dyDescent="0.3">
      <c r="A171" s="24">
        <v>46111</v>
      </c>
      <c r="B171" s="21" t="s">
        <v>207</v>
      </c>
      <c r="C171" s="21" t="s">
        <v>93</v>
      </c>
      <c r="D171" s="21" t="s">
        <v>90</v>
      </c>
      <c r="E171" s="21" t="s">
        <v>94</v>
      </c>
      <c r="F171" s="21" t="s">
        <v>7</v>
      </c>
      <c r="G171" s="12">
        <f>IFERROR(VLOOKUP(F171, Price_Master!$A$2:$C$201, 2, FALSE), "")</f>
        <v>30000</v>
      </c>
      <c r="H171" s="22">
        <f>IFERROR(VLOOKUP(F171, Price_Master!$A$2:$C$201, 3, FALSE), 0)</f>
        <v>0.15</v>
      </c>
      <c r="I171" s="12">
        <f t="shared" si="15"/>
        <v>4500</v>
      </c>
    </row>
    <row r="172" spans="1:9" ht="18.75" x14ac:dyDescent="0.3">
      <c r="A172" s="24"/>
      <c r="B172" s="21"/>
      <c r="C172" s="21"/>
      <c r="D172" s="21"/>
      <c r="E172" s="21" t="s">
        <v>94</v>
      </c>
      <c r="F172" s="21" t="s">
        <v>60</v>
      </c>
      <c r="G172" s="12">
        <f>IFERROR(VLOOKUP(F172, Price_Master!$A$2:$C$201, 2, FALSE), "")</f>
        <v>25000</v>
      </c>
      <c r="H172" s="22">
        <f>IFERROR(VLOOKUP(F172, Price_Master!$A$2:$C$201, 3, FALSE), 0)</f>
        <v>0.05</v>
      </c>
      <c r="I172" s="12">
        <f t="shared" si="15"/>
        <v>1250</v>
      </c>
    </row>
    <row r="173" spans="1:9" ht="18.75" x14ac:dyDescent="0.3">
      <c r="A173" s="24"/>
      <c r="B173" s="21" t="s">
        <v>208</v>
      </c>
      <c r="C173" s="21" t="s">
        <v>209</v>
      </c>
      <c r="D173" s="21" t="s">
        <v>90</v>
      </c>
      <c r="E173" s="21" t="s">
        <v>94</v>
      </c>
      <c r="F173" s="21" t="s">
        <v>7</v>
      </c>
      <c r="G173" s="12">
        <f>IFERROR(VLOOKUP(F173, Price_Master!$A$2:$C$201, 2, FALSE), "")</f>
        <v>30000</v>
      </c>
      <c r="H173" s="22">
        <f>IFERROR(VLOOKUP(F173, Price_Master!$A$2:$C$201, 3, FALSE), 0)</f>
        <v>0.15</v>
      </c>
      <c r="I173" s="12">
        <f t="shared" si="15"/>
        <v>4500</v>
      </c>
    </row>
    <row r="174" spans="1:9" ht="18.75" x14ac:dyDescent="0.3">
      <c r="A174" s="24"/>
      <c r="B174" s="21"/>
      <c r="C174" s="21"/>
      <c r="D174" s="21"/>
      <c r="E174" s="21" t="s">
        <v>94</v>
      </c>
      <c r="F174" s="21" t="s">
        <v>48</v>
      </c>
      <c r="G174" s="12">
        <f>IFERROR(VLOOKUP(F174, Price_Master!$A$2:$C$201, 2, FALSE), "")</f>
        <v>25000</v>
      </c>
      <c r="H174" s="22">
        <f>IFERROR(VLOOKUP(F174, Price_Master!$A$2:$C$201, 3, FALSE), 0)</f>
        <v>0</v>
      </c>
      <c r="I174" s="12">
        <f t="shared" si="15"/>
        <v>0</v>
      </c>
    </row>
    <row r="175" spans="1:9" ht="18.75" x14ac:dyDescent="0.3">
      <c r="A175" s="24"/>
      <c r="B175" s="21"/>
      <c r="C175" s="21"/>
      <c r="D175" s="21"/>
      <c r="E175" s="21" t="s">
        <v>94</v>
      </c>
      <c r="F175" s="21" t="s">
        <v>50</v>
      </c>
      <c r="G175" s="12">
        <f>IFERROR(VLOOKUP(F175, Price_Master!$A$2:$C$201, 2, FALSE), "")</f>
        <v>7000</v>
      </c>
      <c r="H175" s="22">
        <f>IFERROR(VLOOKUP(F175, Price_Master!$A$2:$C$201, 3, FALSE), 0)</f>
        <v>0.05</v>
      </c>
      <c r="I175" s="12">
        <f t="shared" si="15"/>
        <v>350</v>
      </c>
    </row>
    <row r="176" spans="1:9" ht="18.75" x14ac:dyDescent="0.3">
      <c r="A176" s="24"/>
      <c r="B176" s="21"/>
      <c r="C176" s="21"/>
      <c r="D176" s="21"/>
      <c r="E176" s="21" t="s">
        <v>94</v>
      </c>
      <c r="F176" s="21" t="s">
        <v>22</v>
      </c>
      <c r="G176" s="12">
        <f>IFERROR(VLOOKUP(F176, Price_Master!$A$2:$C$201, 2, FALSE), "")</f>
        <v>7000</v>
      </c>
      <c r="H176" s="22">
        <f>IFERROR(VLOOKUP(F176, Price_Master!$A$2:$C$201, 3, FALSE), 0)</f>
        <v>0.05</v>
      </c>
      <c r="I176" s="12">
        <f t="shared" si="15"/>
        <v>350</v>
      </c>
    </row>
    <row r="177" spans="1:12" ht="18.75" x14ac:dyDescent="0.3">
      <c r="A177" s="24"/>
      <c r="B177" s="21"/>
      <c r="C177" s="21"/>
      <c r="D177" s="21"/>
      <c r="E177" s="21" t="s">
        <v>94</v>
      </c>
      <c r="F177" s="21" t="s">
        <v>57</v>
      </c>
      <c r="G177" s="12">
        <f>IFERROR(VLOOKUP(F177, Price_Master!$A$2:$C$201, 2, FALSE), "")</f>
        <v>10000</v>
      </c>
      <c r="H177" s="22">
        <f>IFERROR(VLOOKUP(F177, Price_Master!$A$2:$C$201, 3, FALSE), 0)</f>
        <v>0.05</v>
      </c>
      <c r="I177" s="12">
        <f t="shared" si="15"/>
        <v>500</v>
      </c>
    </row>
    <row r="178" spans="1:12" ht="18.75" x14ac:dyDescent="0.3">
      <c r="A178" s="24"/>
      <c r="B178" s="21"/>
      <c r="C178" s="21"/>
      <c r="D178" s="21"/>
      <c r="E178" s="21" t="s">
        <v>94</v>
      </c>
      <c r="F178" s="21" t="s">
        <v>8</v>
      </c>
      <c r="G178" s="12">
        <f>IFERROR(VLOOKUP(F178, Price_Master!$A$2:$C$201, 2, FALSE), "")</f>
        <v>12000</v>
      </c>
      <c r="H178" s="22">
        <f>IFERROR(VLOOKUP(F178, Price_Master!$A$2:$C$201, 3, FALSE), 0)</f>
        <v>0.05</v>
      </c>
      <c r="I178" s="12">
        <f t="shared" si="15"/>
        <v>600</v>
      </c>
    </row>
    <row r="179" spans="1:12" ht="18.75" x14ac:dyDescent="0.3">
      <c r="A179" s="24"/>
      <c r="B179" s="21"/>
      <c r="C179" s="21"/>
      <c r="D179" s="21"/>
      <c r="E179" s="21" t="s">
        <v>94</v>
      </c>
      <c r="F179" s="21" t="s">
        <v>95</v>
      </c>
      <c r="G179" s="12">
        <f>IFERROR(VLOOKUP(F179, Price_Master!$A$2:$C$201, 2, FALSE), "")</f>
        <v>30000</v>
      </c>
      <c r="H179" s="22">
        <f>IFERROR(VLOOKUP(F179, Price_Master!$A$2:$C$201, 3, FALSE), 0)</f>
        <v>0.15</v>
      </c>
      <c r="I179" s="12">
        <f t="shared" si="15"/>
        <v>4500</v>
      </c>
    </row>
    <row r="180" spans="1:12" ht="18.75" x14ac:dyDescent="0.3">
      <c r="A180" s="24"/>
      <c r="B180" s="21"/>
      <c r="C180" s="21"/>
      <c r="D180" s="21"/>
      <c r="E180" s="21" t="s">
        <v>94</v>
      </c>
      <c r="F180" s="21" t="s">
        <v>37</v>
      </c>
      <c r="G180" s="12">
        <f>IFERROR(VLOOKUP(F180, Price_Master!$A$2:$C$201, 2, FALSE), "")</f>
        <v>36000</v>
      </c>
      <c r="H180" s="22">
        <f>IFERROR(VLOOKUP(F180, Price_Master!$A$2:$C$201, 3, FALSE), 0)</f>
        <v>0.15</v>
      </c>
      <c r="I180" s="12">
        <f t="shared" si="15"/>
        <v>5400</v>
      </c>
    </row>
    <row r="181" spans="1:12" ht="18.75" x14ac:dyDescent="0.3">
      <c r="A181" s="24"/>
      <c r="B181" s="21"/>
      <c r="C181" s="21"/>
      <c r="D181" s="21"/>
      <c r="E181" s="21" t="s">
        <v>94</v>
      </c>
      <c r="F181" s="21" t="s">
        <v>33</v>
      </c>
      <c r="G181" s="12">
        <f>IFERROR(VLOOKUP(F181, Price_Master!$A$2:$C$201, 2, FALSE), "")</f>
        <v>25000</v>
      </c>
      <c r="H181" s="22">
        <f>IFERROR(VLOOKUP(F181, Price_Master!$A$2:$C$201, 3, FALSE), 0)</f>
        <v>0.15</v>
      </c>
      <c r="I181" s="12">
        <f t="shared" si="15"/>
        <v>3750</v>
      </c>
    </row>
    <row r="182" spans="1:12" ht="18.75" x14ac:dyDescent="0.3">
      <c r="A182" s="24">
        <v>46112</v>
      </c>
      <c r="B182" s="21" t="s">
        <v>210</v>
      </c>
      <c r="C182" s="21" t="s">
        <v>187</v>
      </c>
      <c r="D182" s="21" t="s">
        <v>90</v>
      </c>
      <c r="E182" s="21" t="s">
        <v>164</v>
      </c>
      <c r="F182" s="21" t="s">
        <v>8</v>
      </c>
      <c r="G182" s="12">
        <f>IFERROR(VLOOKUP(F182, Price_Master!$A$2:$C$201, 2, FALSE), "")</f>
        <v>12000</v>
      </c>
      <c r="H182" s="22">
        <f>IFERROR(VLOOKUP(F182, Price_Master!$A$2:$C$201, 3, FALSE), 0)</f>
        <v>0.05</v>
      </c>
      <c r="I182" s="12">
        <f t="shared" ref="I182:I196" si="16">IFERROR(G182*H182, "")</f>
        <v>600</v>
      </c>
    </row>
    <row r="183" spans="1:12" ht="18.75" x14ac:dyDescent="0.3">
      <c r="A183" s="24"/>
      <c r="B183" s="21" t="s">
        <v>211</v>
      </c>
      <c r="C183" s="21" t="s">
        <v>206</v>
      </c>
      <c r="D183" s="21" t="s">
        <v>79</v>
      </c>
      <c r="E183" s="21" t="s">
        <v>212</v>
      </c>
      <c r="F183" s="21" t="s">
        <v>7</v>
      </c>
      <c r="G183" s="12">
        <f>IFERROR(VLOOKUP(F183, Price_Master!$A$2:$C$201, 2, FALSE), "")</f>
        <v>30000</v>
      </c>
      <c r="H183" s="22">
        <f>IFERROR(VLOOKUP(F183, Price_Master!$A$2:$C$201, 3, FALSE), 0)</f>
        <v>0.15</v>
      </c>
      <c r="I183" s="12">
        <f t="shared" si="16"/>
        <v>4500</v>
      </c>
    </row>
    <row r="184" spans="1:12" ht="18.75" x14ac:dyDescent="0.3">
      <c r="A184" s="24"/>
      <c r="B184" s="21"/>
      <c r="C184" s="21"/>
      <c r="D184" s="21"/>
      <c r="E184" s="21" t="s">
        <v>212</v>
      </c>
      <c r="F184" s="21" t="s">
        <v>13</v>
      </c>
      <c r="G184" s="12">
        <f>IFERROR(VLOOKUP(F184, Price_Master!$A$2:$C$201, 2, FALSE), "")</f>
        <v>10000</v>
      </c>
      <c r="H184" s="22">
        <f>IFERROR(VLOOKUP(F184, Price_Master!$A$2:$C$201, 3, FALSE), 0)</f>
        <v>0.15</v>
      </c>
      <c r="I184" s="12">
        <f t="shared" si="16"/>
        <v>1500</v>
      </c>
    </row>
    <row r="185" spans="1:12" ht="18.75" x14ac:dyDescent="0.3">
      <c r="A185" s="24"/>
      <c r="B185" s="21"/>
      <c r="C185" s="21"/>
      <c r="D185" s="21"/>
      <c r="E185" s="21" t="s">
        <v>212</v>
      </c>
      <c r="F185" s="21" t="s">
        <v>58</v>
      </c>
      <c r="G185" s="12">
        <f>IFERROR(VLOOKUP(F185, Price_Master!$A$2:$C$201, 2, FALSE), "")</f>
        <v>12000</v>
      </c>
      <c r="H185" s="22">
        <f>IFERROR(VLOOKUP(F185, Price_Master!$A$2:$C$201, 3, FALSE), 0)</f>
        <v>0.05</v>
      </c>
      <c r="I185" s="12">
        <f t="shared" si="16"/>
        <v>600</v>
      </c>
    </row>
    <row r="186" spans="1:12" ht="18.75" x14ac:dyDescent="0.3">
      <c r="A186" s="24"/>
      <c r="B186" s="21"/>
      <c r="C186" s="21"/>
      <c r="D186" s="21"/>
      <c r="E186" s="21" t="s">
        <v>212</v>
      </c>
      <c r="F186" s="21" t="s">
        <v>25</v>
      </c>
      <c r="G186" s="12">
        <f>IFERROR(VLOOKUP(F186, Price_Master!$A$2:$C$201, 2, FALSE), "")</f>
        <v>12000</v>
      </c>
      <c r="H186" s="22">
        <f>IFERROR(VLOOKUP(F186, Price_Master!$A$2:$C$201, 3, FALSE), 0)</f>
        <v>0.05</v>
      </c>
      <c r="I186" s="12">
        <f t="shared" si="16"/>
        <v>600</v>
      </c>
    </row>
    <row r="187" spans="1:12" ht="18.75" x14ac:dyDescent="0.3">
      <c r="A187" s="24"/>
      <c r="B187" s="21"/>
      <c r="C187" s="21"/>
      <c r="D187" s="21"/>
      <c r="E187" s="21" t="s">
        <v>212</v>
      </c>
      <c r="F187" s="21" t="s">
        <v>60</v>
      </c>
      <c r="G187" s="12">
        <f>IFERROR(VLOOKUP(F187, Price_Master!$A$2:$C$201, 2, FALSE), "")</f>
        <v>25000</v>
      </c>
      <c r="H187" s="22">
        <f>IFERROR(VLOOKUP(F187, Price_Master!$A$2:$C$201, 3, FALSE), 0)</f>
        <v>0.05</v>
      </c>
      <c r="I187" s="12">
        <f t="shared" si="16"/>
        <v>1250</v>
      </c>
    </row>
    <row r="188" spans="1:12" ht="18.75" x14ac:dyDescent="0.3">
      <c r="A188" s="24"/>
      <c r="B188" s="21"/>
      <c r="C188" s="21"/>
      <c r="D188" s="21"/>
      <c r="E188" s="21" t="s">
        <v>212</v>
      </c>
      <c r="F188" s="21" t="s">
        <v>8</v>
      </c>
      <c r="G188" s="12">
        <f>IFERROR(VLOOKUP(F188, Price_Master!$A$2:$C$201, 2, FALSE), "")</f>
        <v>12000</v>
      </c>
      <c r="H188" s="22">
        <f>IFERROR(VLOOKUP(F188, Price_Master!$A$2:$C$201, 3, FALSE), 0)</f>
        <v>0.05</v>
      </c>
      <c r="I188" s="12">
        <f t="shared" si="16"/>
        <v>600</v>
      </c>
      <c r="L188" s="1"/>
    </row>
    <row r="189" spans="1:12" ht="18.75" x14ac:dyDescent="0.3">
      <c r="A189" s="24"/>
      <c r="B189" s="21" t="s">
        <v>213</v>
      </c>
      <c r="C189" s="21" t="s">
        <v>214</v>
      </c>
      <c r="D189" s="21" t="s">
        <v>90</v>
      </c>
      <c r="E189" s="21" t="s">
        <v>94</v>
      </c>
      <c r="F189" s="21" t="s">
        <v>7</v>
      </c>
      <c r="G189" s="12">
        <f>IFERROR(VLOOKUP(F189, Price_Master!$A$2:$C$201, 2, FALSE), "")</f>
        <v>30000</v>
      </c>
      <c r="H189" s="22">
        <f>IFERROR(VLOOKUP(F189, Price_Master!$A$2:$C$201, 3, FALSE), 0)</f>
        <v>0.15</v>
      </c>
      <c r="I189" s="12">
        <f t="shared" si="16"/>
        <v>4500</v>
      </c>
    </row>
    <row r="190" spans="1:12" ht="18.75" x14ac:dyDescent="0.3">
      <c r="A190" s="24"/>
      <c r="B190" s="21"/>
      <c r="C190" s="21"/>
      <c r="D190" s="21"/>
      <c r="E190" s="21" t="s">
        <v>94</v>
      </c>
      <c r="F190" s="21" t="s">
        <v>13</v>
      </c>
      <c r="G190" s="12">
        <f>IFERROR(VLOOKUP(F190, Price_Master!$A$2:$C$201, 2, FALSE), "")</f>
        <v>10000</v>
      </c>
      <c r="H190" s="22">
        <f>IFERROR(VLOOKUP(F190, Price_Master!$A$2:$C$201, 3, FALSE), 0)</f>
        <v>0.15</v>
      </c>
      <c r="I190" s="12">
        <f t="shared" si="16"/>
        <v>1500</v>
      </c>
    </row>
    <row r="191" spans="1:12" ht="18.75" x14ac:dyDescent="0.3">
      <c r="A191" s="24"/>
      <c r="B191" s="21"/>
      <c r="C191" s="21"/>
      <c r="D191" s="21"/>
      <c r="E191" s="21" t="s">
        <v>94</v>
      </c>
      <c r="F191" s="21" t="s">
        <v>50</v>
      </c>
      <c r="G191" s="12">
        <f>IFERROR(VLOOKUP(F191, Price_Master!$A$2:$C$201, 2, FALSE), "")</f>
        <v>7000</v>
      </c>
      <c r="H191" s="22">
        <f>IFERROR(VLOOKUP(F191, Price_Master!$A$2:$C$201, 3, FALSE), 0)</f>
        <v>0.05</v>
      </c>
      <c r="I191" s="12">
        <f t="shared" si="16"/>
        <v>350</v>
      </c>
    </row>
    <row r="192" spans="1:12" ht="18.75" x14ac:dyDescent="0.3">
      <c r="A192" s="24"/>
      <c r="B192" s="21"/>
      <c r="C192" s="21"/>
      <c r="D192" s="21"/>
      <c r="E192" s="21" t="s">
        <v>94</v>
      </c>
      <c r="F192" s="21" t="s">
        <v>22</v>
      </c>
      <c r="G192" s="12">
        <f>IFERROR(VLOOKUP(F192, Price_Master!$A$2:$C$201, 2, FALSE), "")</f>
        <v>7000</v>
      </c>
      <c r="H192" s="22">
        <f>IFERROR(VLOOKUP(F192, Price_Master!$A$2:$C$201, 3, FALSE), 0)</f>
        <v>0.05</v>
      </c>
      <c r="I192" s="12">
        <f t="shared" si="16"/>
        <v>350</v>
      </c>
    </row>
    <row r="193" spans="1:9" ht="18.75" x14ac:dyDescent="0.3">
      <c r="A193" s="24"/>
      <c r="B193" s="21"/>
      <c r="C193" s="21"/>
      <c r="D193" s="21"/>
      <c r="E193" s="21" t="s">
        <v>94</v>
      </c>
      <c r="F193" s="21" t="s">
        <v>21</v>
      </c>
      <c r="G193" s="12">
        <f>IFERROR(VLOOKUP(F193, Price_Master!$A$2:$C$201, 2, FALSE), "")</f>
        <v>10000</v>
      </c>
      <c r="H193" s="22">
        <f>IFERROR(VLOOKUP(F193, Price_Master!$A$2:$C$201, 3, FALSE), 0)</f>
        <v>0.05</v>
      </c>
      <c r="I193" s="12">
        <f t="shared" si="16"/>
        <v>500</v>
      </c>
    </row>
    <row r="194" spans="1:9" ht="18.75" x14ac:dyDescent="0.3">
      <c r="A194" s="24"/>
      <c r="B194" s="21"/>
      <c r="C194" s="21"/>
      <c r="D194" s="21"/>
      <c r="E194" s="21" t="s">
        <v>94</v>
      </c>
      <c r="F194" s="21" t="s">
        <v>8</v>
      </c>
      <c r="G194" s="12">
        <f>IFERROR(VLOOKUP(F194, Price_Master!$A$2:$C$201, 2, FALSE), "")</f>
        <v>12000</v>
      </c>
      <c r="H194" s="22">
        <f>IFERROR(VLOOKUP(F194, Price_Master!$A$2:$C$201, 3, FALSE), 0)</f>
        <v>0.05</v>
      </c>
      <c r="I194" s="12">
        <f t="shared" si="16"/>
        <v>600</v>
      </c>
    </row>
    <row r="195" spans="1:9" ht="18.75" x14ac:dyDescent="0.3">
      <c r="A195" s="24"/>
      <c r="B195" s="21"/>
      <c r="C195" s="21"/>
      <c r="D195" s="21"/>
      <c r="E195" s="21" t="s">
        <v>94</v>
      </c>
      <c r="F195" s="21" t="s">
        <v>49</v>
      </c>
      <c r="G195" s="12">
        <f>IFERROR(VLOOKUP(F195, Price_Master!$A$2:$C$201, 2, FALSE), "")</f>
        <v>10000</v>
      </c>
      <c r="H195" s="22">
        <f>IFERROR(VLOOKUP(F195, Price_Master!$A$2:$C$201, 3, FALSE), 0)</f>
        <v>0.15</v>
      </c>
      <c r="I195" s="12">
        <f t="shared" si="16"/>
        <v>1500</v>
      </c>
    </row>
    <row r="196" spans="1:9" ht="18.75" x14ac:dyDescent="0.3">
      <c r="A196" s="24"/>
      <c r="B196" s="21"/>
      <c r="C196" s="21"/>
      <c r="D196" s="21"/>
      <c r="E196" s="21" t="s">
        <v>94</v>
      </c>
      <c r="F196" s="21" t="s">
        <v>10</v>
      </c>
      <c r="G196" s="12">
        <f>IFERROR(VLOOKUP(F196, Price_Master!$A$2:$C$201, 2, FALSE), "")</f>
        <v>10000</v>
      </c>
      <c r="H196" s="22">
        <f>IFERROR(VLOOKUP(F196, Price_Master!$A$2:$C$201, 3, FALSE), 0)</f>
        <v>0.15</v>
      </c>
      <c r="I196" s="12">
        <f t="shared" si="16"/>
        <v>1500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ACB9B-7B69-47A5-B126-60FECCCAEF08}">
  <dimension ref="A3:B37"/>
  <sheetViews>
    <sheetView workbookViewId="0">
      <selection activeCell="B7" sqref="B7"/>
    </sheetView>
  </sheetViews>
  <sheetFormatPr defaultRowHeight="15" x14ac:dyDescent="0.25"/>
  <cols>
    <col min="1" max="1" width="15.85546875" bestFit="1" customWidth="1"/>
    <col min="2" max="2" width="13.5703125" bestFit="1" customWidth="1"/>
  </cols>
  <sheetData>
    <row r="3" spans="1:2" ht="18.75" x14ac:dyDescent="0.3">
      <c r="A3" s="7" t="s">
        <v>74</v>
      </c>
      <c r="B3" s="8" t="s">
        <v>78</v>
      </c>
    </row>
    <row r="4" spans="1:2" x14ac:dyDescent="0.25">
      <c r="A4" s="4" t="s">
        <v>7</v>
      </c>
      <c r="B4" s="30">
        <v>28</v>
      </c>
    </row>
    <row r="5" spans="1:2" x14ac:dyDescent="0.25">
      <c r="A5" s="4" t="s">
        <v>49</v>
      </c>
      <c r="B5" s="30">
        <v>17</v>
      </c>
    </row>
    <row r="6" spans="1:2" x14ac:dyDescent="0.25">
      <c r="A6" s="4" t="s">
        <v>95</v>
      </c>
      <c r="B6" s="30">
        <v>12</v>
      </c>
    </row>
    <row r="7" spans="1:2" x14ac:dyDescent="0.25">
      <c r="A7" s="4" t="s">
        <v>8</v>
      </c>
      <c r="B7" s="30">
        <v>11</v>
      </c>
    </row>
    <row r="8" spans="1:2" x14ac:dyDescent="0.25">
      <c r="A8" s="4" t="s">
        <v>22</v>
      </c>
      <c r="B8" s="30">
        <v>10</v>
      </c>
    </row>
    <row r="9" spans="1:2" x14ac:dyDescent="0.25">
      <c r="A9" s="4" t="s">
        <v>57</v>
      </c>
      <c r="B9" s="30">
        <v>10</v>
      </c>
    </row>
    <row r="10" spans="1:2" x14ac:dyDescent="0.25">
      <c r="A10" s="4" t="s">
        <v>50</v>
      </c>
      <c r="B10" s="30">
        <v>10</v>
      </c>
    </row>
    <row r="11" spans="1:2" x14ac:dyDescent="0.25">
      <c r="A11" s="4" t="s">
        <v>37</v>
      </c>
      <c r="B11" s="30">
        <v>10</v>
      </c>
    </row>
    <row r="12" spans="1:2" x14ac:dyDescent="0.25">
      <c r="A12" s="4" t="s">
        <v>60</v>
      </c>
      <c r="B12" s="30">
        <v>9</v>
      </c>
    </row>
    <row r="13" spans="1:2" x14ac:dyDescent="0.25">
      <c r="A13" s="4" t="s">
        <v>21</v>
      </c>
      <c r="B13" s="30">
        <v>8</v>
      </c>
    </row>
    <row r="14" spans="1:2" x14ac:dyDescent="0.25">
      <c r="A14" s="4" t="s">
        <v>24</v>
      </c>
      <c r="B14" s="30">
        <v>7</v>
      </c>
    </row>
    <row r="15" spans="1:2" x14ac:dyDescent="0.25">
      <c r="A15" s="4" t="s">
        <v>11</v>
      </c>
      <c r="B15" s="30">
        <v>7</v>
      </c>
    </row>
    <row r="16" spans="1:2" x14ac:dyDescent="0.25">
      <c r="A16" s="4" t="s">
        <v>121</v>
      </c>
      <c r="B16" s="30">
        <v>6</v>
      </c>
    </row>
    <row r="17" spans="1:2" x14ac:dyDescent="0.25">
      <c r="A17" s="4" t="s">
        <v>14</v>
      </c>
      <c r="B17" s="30">
        <v>5</v>
      </c>
    </row>
    <row r="18" spans="1:2" x14ac:dyDescent="0.25">
      <c r="A18" s="4" t="s">
        <v>82</v>
      </c>
      <c r="B18" s="30">
        <v>5</v>
      </c>
    </row>
    <row r="19" spans="1:2" x14ac:dyDescent="0.25">
      <c r="A19" s="4" t="s">
        <v>18</v>
      </c>
      <c r="B19" s="30">
        <v>5</v>
      </c>
    </row>
    <row r="20" spans="1:2" x14ac:dyDescent="0.25">
      <c r="A20" s="4" t="s">
        <v>58</v>
      </c>
      <c r="B20" s="30">
        <v>4</v>
      </c>
    </row>
    <row r="21" spans="1:2" x14ac:dyDescent="0.25">
      <c r="A21" s="4" t="s">
        <v>13</v>
      </c>
      <c r="B21" s="30">
        <v>4</v>
      </c>
    </row>
    <row r="22" spans="1:2" x14ac:dyDescent="0.25">
      <c r="A22" s="4" t="s">
        <v>52</v>
      </c>
      <c r="B22" s="30">
        <v>3</v>
      </c>
    </row>
    <row r="23" spans="1:2" x14ac:dyDescent="0.25">
      <c r="A23" s="4" t="s">
        <v>33</v>
      </c>
      <c r="B23" s="30">
        <v>3</v>
      </c>
    </row>
    <row r="24" spans="1:2" x14ac:dyDescent="0.25">
      <c r="A24" s="4" t="s">
        <v>25</v>
      </c>
      <c r="B24" s="30">
        <v>2</v>
      </c>
    </row>
    <row r="25" spans="1:2" x14ac:dyDescent="0.25">
      <c r="A25" s="4" t="s">
        <v>43</v>
      </c>
      <c r="B25" s="30">
        <v>2</v>
      </c>
    </row>
    <row r="26" spans="1:2" x14ac:dyDescent="0.25">
      <c r="A26" s="4" t="s">
        <v>47</v>
      </c>
      <c r="B26" s="30">
        <v>2</v>
      </c>
    </row>
    <row r="27" spans="1:2" x14ac:dyDescent="0.25">
      <c r="A27" s="4" t="s">
        <v>44</v>
      </c>
      <c r="B27" s="30">
        <v>2</v>
      </c>
    </row>
    <row r="28" spans="1:2" x14ac:dyDescent="0.25">
      <c r="A28" s="4" t="s">
        <v>42</v>
      </c>
      <c r="B28" s="30">
        <v>2</v>
      </c>
    </row>
    <row r="29" spans="1:2" x14ac:dyDescent="0.25">
      <c r="A29" s="4" t="s">
        <v>10</v>
      </c>
      <c r="B29" s="30">
        <v>2</v>
      </c>
    </row>
    <row r="30" spans="1:2" x14ac:dyDescent="0.25">
      <c r="A30" s="4" t="s">
        <v>56</v>
      </c>
      <c r="B30" s="30">
        <v>2</v>
      </c>
    </row>
    <row r="31" spans="1:2" x14ac:dyDescent="0.25">
      <c r="A31" s="4" t="s">
        <v>48</v>
      </c>
      <c r="B31" s="30">
        <v>2</v>
      </c>
    </row>
    <row r="32" spans="1:2" x14ac:dyDescent="0.25">
      <c r="A32" s="4" t="s">
        <v>71</v>
      </c>
      <c r="B32" s="30">
        <v>1</v>
      </c>
    </row>
    <row r="33" spans="1:2" x14ac:dyDescent="0.25">
      <c r="A33" s="4" t="s">
        <v>80</v>
      </c>
      <c r="B33" s="30">
        <v>1</v>
      </c>
    </row>
    <row r="34" spans="1:2" x14ac:dyDescent="0.25">
      <c r="A34" s="4" t="s">
        <v>203</v>
      </c>
      <c r="B34" s="30">
        <v>1</v>
      </c>
    </row>
    <row r="35" spans="1:2" x14ac:dyDescent="0.25">
      <c r="A35" s="4" t="s">
        <v>23</v>
      </c>
      <c r="B35" s="30">
        <v>1</v>
      </c>
    </row>
    <row r="36" spans="1:2" x14ac:dyDescent="0.25">
      <c r="A36" s="4" t="s">
        <v>20</v>
      </c>
      <c r="B36" s="30">
        <v>1</v>
      </c>
    </row>
    <row r="37" spans="1:2" x14ac:dyDescent="0.25">
      <c r="A37" s="4" t="s">
        <v>12</v>
      </c>
      <c r="B37" s="30">
        <v>195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C491-1821-41EF-9ACA-18B48BF72AEE}">
  <dimension ref="A1:B16"/>
  <sheetViews>
    <sheetView workbookViewId="0">
      <selection activeCell="B4" sqref="B4"/>
    </sheetView>
  </sheetViews>
  <sheetFormatPr defaultRowHeight="15" x14ac:dyDescent="0.25"/>
  <cols>
    <col min="1" max="1" width="18.42578125" bestFit="1" customWidth="1"/>
    <col min="2" max="2" width="28.85546875" bestFit="1" customWidth="1"/>
  </cols>
  <sheetData>
    <row r="1" spans="1:2" x14ac:dyDescent="0.25">
      <c r="A1" s="5" t="s">
        <v>74</v>
      </c>
      <c r="B1" s="6" t="s">
        <v>75</v>
      </c>
    </row>
    <row r="3" spans="1:2" ht="18.75" x14ac:dyDescent="0.3">
      <c r="A3" s="7" t="s">
        <v>76</v>
      </c>
      <c r="B3" s="8" t="s">
        <v>77</v>
      </c>
    </row>
    <row r="4" spans="1:2" x14ac:dyDescent="0.25">
      <c r="A4" s="14" t="s">
        <v>94</v>
      </c>
      <c r="B4" s="10">
        <v>167000</v>
      </c>
    </row>
    <row r="5" spans="1:2" x14ac:dyDescent="0.25">
      <c r="A5" s="15" t="s">
        <v>114</v>
      </c>
      <c r="B5" s="13">
        <v>111750</v>
      </c>
    </row>
    <row r="6" spans="1:2" x14ac:dyDescent="0.25">
      <c r="A6" s="15" t="s">
        <v>91</v>
      </c>
      <c r="B6" s="13">
        <v>46300</v>
      </c>
    </row>
    <row r="7" spans="1:2" x14ac:dyDescent="0.25">
      <c r="A7" s="15" t="s">
        <v>84</v>
      </c>
      <c r="B7" s="13">
        <v>21700</v>
      </c>
    </row>
    <row r="8" spans="1:2" x14ac:dyDescent="0.25">
      <c r="A8" s="15" t="s">
        <v>142</v>
      </c>
      <c r="B8" s="13">
        <v>14750</v>
      </c>
    </row>
    <row r="9" spans="1:2" x14ac:dyDescent="0.25">
      <c r="A9" s="15" t="s">
        <v>212</v>
      </c>
      <c r="B9" s="13">
        <v>9050</v>
      </c>
    </row>
    <row r="10" spans="1:2" x14ac:dyDescent="0.25">
      <c r="A10" s="15" t="s">
        <v>164</v>
      </c>
      <c r="B10" s="13">
        <v>8750</v>
      </c>
    </row>
    <row r="11" spans="1:2" x14ac:dyDescent="0.25">
      <c r="A11" s="15" t="s">
        <v>202</v>
      </c>
      <c r="B11" s="13">
        <v>7300</v>
      </c>
    </row>
    <row r="12" spans="1:2" x14ac:dyDescent="0.25">
      <c r="A12" s="15" t="s">
        <v>145</v>
      </c>
      <c r="B12" s="13">
        <v>4500</v>
      </c>
    </row>
    <row r="13" spans="1:2" x14ac:dyDescent="0.25">
      <c r="A13" s="15" t="s">
        <v>148</v>
      </c>
      <c r="B13" s="13">
        <v>4500</v>
      </c>
    </row>
    <row r="14" spans="1:2" x14ac:dyDescent="0.25">
      <c r="A14" s="15" t="s">
        <v>88</v>
      </c>
      <c r="B14" s="13">
        <v>2600</v>
      </c>
    </row>
    <row r="15" spans="1:2" x14ac:dyDescent="0.25">
      <c r="A15" s="16" t="s">
        <v>109</v>
      </c>
      <c r="B15" s="13">
        <v>600</v>
      </c>
    </row>
    <row r="16" spans="1:2" x14ac:dyDescent="0.25">
      <c r="A16" s="4" t="s">
        <v>12</v>
      </c>
      <c r="B16" s="11">
        <v>398800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8569A-694E-4797-B0E0-513DDB521C3C}">
  <dimension ref="A1:C69"/>
  <sheetViews>
    <sheetView topLeftCell="A34" workbookViewId="0">
      <selection activeCell="A54" sqref="A54"/>
    </sheetView>
  </sheetViews>
  <sheetFormatPr defaultRowHeight="15" x14ac:dyDescent="0.25"/>
  <cols>
    <col min="1" max="1" width="19.28515625" bestFit="1" customWidth="1"/>
    <col min="2" max="2" width="9.140625" style="1"/>
    <col min="3" max="3" width="9.140625" style="3"/>
  </cols>
  <sheetData>
    <row r="1" spans="1:3" x14ac:dyDescent="0.25">
      <c r="A1" t="s">
        <v>5</v>
      </c>
      <c r="B1" s="1" t="s">
        <v>6</v>
      </c>
      <c r="C1" s="3" t="s">
        <v>54</v>
      </c>
    </row>
    <row r="2" spans="1:3" x14ac:dyDescent="0.25">
      <c r="A2" t="s">
        <v>7</v>
      </c>
      <c r="B2" s="1">
        <v>30000</v>
      </c>
      <c r="C2" s="3">
        <v>0.15</v>
      </c>
    </row>
    <row r="3" spans="1:3" x14ac:dyDescent="0.25">
      <c r="A3" t="s">
        <v>52</v>
      </c>
      <c r="B3" s="1">
        <v>10000</v>
      </c>
      <c r="C3" s="3">
        <v>0.15</v>
      </c>
    </row>
    <row r="4" spans="1:3" x14ac:dyDescent="0.25">
      <c r="A4" t="s">
        <v>13</v>
      </c>
      <c r="B4" s="1">
        <v>10000</v>
      </c>
      <c r="C4" s="3">
        <v>0.15</v>
      </c>
    </row>
    <row r="5" spans="1:3" x14ac:dyDescent="0.25">
      <c r="A5" t="s">
        <v>14</v>
      </c>
      <c r="B5" s="1">
        <v>7000</v>
      </c>
      <c r="C5" s="3">
        <v>0.15</v>
      </c>
    </row>
    <row r="6" spans="1:3" x14ac:dyDescent="0.25">
      <c r="A6" t="s">
        <v>15</v>
      </c>
      <c r="B6" s="1">
        <v>30000</v>
      </c>
      <c r="C6" s="3">
        <v>0.15</v>
      </c>
    </row>
    <row r="7" spans="1:3" x14ac:dyDescent="0.25">
      <c r="A7" t="s">
        <v>56</v>
      </c>
      <c r="B7" s="1">
        <v>10000</v>
      </c>
      <c r="C7" s="3">
        <v>0.15</v>
      </c>
    </row>
    <row r="8" spans="1:3" x14ac:dyDescent="0.25">
      <c r="A8" t="s">
        <v>49</v>
      </c>
      <c r="B8" s="1">
        <v>10000</v>
      </c>
      <c r="C8" s="3">
        <v>0.15</v>
      </c>
    </row>
    <row r="9" spans="1:3" x14ac:dyDescent="0.25">
      <c r="A9" t="s">
        <v>10</v>
      </c>
      <c r="B9" s="1">
        <v>10000</v>
      </c>
      <c r="C9" s="3">
        <v>0.15</v>
      </c>
    </row>
    <row r="10" spans="1:3" x14ac:dyDescent="0.25">
      <c r="A10" t="s">
        <v>41</v>
      </c>
      <c r="B10" s="1">
        <v>10000</v>
      </c>
      <c r="C10" s="3">
        <v>0.15</v>
      </c>
    </row>
    <row r="11" spans="1:3" x14ac:dyDescent="0.25">
      <c r="A11" t="s">
        <v>11</v>
      </c>
      <c r="B11" s="1">
        <v>36000</v>
      </c>
      <c r="C11" s="3">
        <v>0.15</v>
      </c>
    </row>
    <row r="12" spans="1:3" x14ac:dyDescent="0.25">
      <c r="A12" t="s">
        <v>28</v>
      </c>
      <c r="B12" s="1">
        <v>10000</v>
      </c>
      <c r="C12" s="3">
        <v>0.15</v>
      </c>
    </row>
    <row r="13" spans="1:3" x14ac:dyDescent="0.25">
      <c r="A13" t="s">
        <v>29</v>
      </c>
      <c r="B13" s="1">
        <v>10000</v>
      </c>
      <c r="C13" s="3">
        <v>0.15</v>
      </c>
    </row>
    <row r="14" spans="1:3" x14ac:dyDescent="0.25">
      <c r="A14" t="s">
        <v>30</v>
      </c>
      <c r="B14" s="1">
        <v>10000</v>
      </c>
      <c r="C14" s="3">
        <v>0.15</v>
      </c>
    </row>
    <row r="15" spans="1:3" x14ac:dyDescent="0.25">
      <c r="A15" t="s">
        <v>31</v>
      </c>
      <c r="B15" s="1">
        <v>10000</v>
      </c>
      <c r="C15" s="3">
        <v>0.15</v>
      </c>
    </row>
    <row r="16" spans="1:3" x14ac:dyDescent="0.25">
      <c r="A16" t="s">
        <v>32</v>
      </c>
      <c r="B16" s="1">
        <v>10000</v>
      </c>
      <c r="C16" s="3">
        <v>0.15</v>
      </c>
    </row>
    <row r="17" spans="1:3" x14ac:dyDescent="0.25">
      <c r="A17" t="s">
        <v>33</v>
      </c>
      <c r="B17" s="1">
        <v>25000</v>
      </c>
      <c r="C17" s="3">
        <v>0.15</v>
      </c>
    </row>
    <row r="18" spans="1:3" x14ac:dyDescent="0.25">
      <c r="A18" t="s">
        <v>34</v>
      </c>
      <c r="B18" s="1">
        <v>10000</v>
      </c>
      <c r="C18" s="3">
        <v>0.15</v>
      </c>
    </row>
    <row r="19" spans="1:3" x14ac:dyDescent="0.25">
      <c r="A19" t="s">
        <v>35</v>
      </c>
      <c r="B19" s="1">
        <v>10000</v>
      </c>
      <c r="C19" s="3">
        <v>0.15</v>
      </c>
    </row>
    <row r="20" spans="1:3" x14ac:dyDescent="0.25">
      <c r="A20" t="s">
        <v>36</v>
      </c>
      <c r="B20" s="1">
        <v>10000</v>
      </c>
      <c r="C20" s="3">
        <v>0.15</v>
      </c>
    </row>
    <row r="21" spans="1:3" x14ac:dyDescent="0.25">
      <c r="A21" t="s">
        <v>37</v>
      </c>
      <c r="B21" s="1">
        <v>36000</v>
      </c>
      <c r="C21" s="3">
        <v>0.15</v>
      </c>
    </row>
    <row r="22" spans="1:3" x14ac:dyDescent="0.25">
      <c r="A22" t="s">
        <v>38</v>
      </c>
      <c r="B22" s="1">
        <v>10000</v>
      </c>
      <c r="C22" s="3">
        <v>0.15</v>
      </c>
    </row>
    <row r="23" spans="1:3" x14ac:dyDescent="0.25">
      <c r="A23" t="s">
        <v>39</v>
      </c>
      <c r="B23" s="1">
        <v>10000</v>
      </c>
      <c r="C23" s="3">
        <v>0.15</v>
      </c>
    </row>
    <row r="24" spans="1:3" x14ac:dyDescent="0.25">
      <c r="A24" t="s">
        <v>40</v>
      </c>
      <c r="B24" s="1">
        <v>10000</v>
      </c>
      <c r="C24" s="3">
        <v>0.15</v>
      </c>
    </row>
    <row r="25" spans="1:3" x14ac:dyDescent="0.25">
      <c r="A25" t="s">
        <v>26</v>
      </c>
      <c r="B25" s="1">
        <v>10000</v>
      </c>
      <c r="C25" s="3">
        <v>0.15</v>
      </c>
    </row>
    <row r="26" spans="1:3" x14ac:dyDescent="0.25">
      <c r="A26" t="s">
        <v>27</v>
      </c>
      <c r="B26" s="1">
        <v>10000</v>
      </c>
      <c r="C26" s="3">
        <v>0.15</v>
      </c>
    </row>
    <row r="28" spans="1:3" x14ac:dyDescent="0.25">
      <c r="A28" t="s">
        <v>82</v>
      </c>
      <c r="B28" s="1">
        <v>12000</v>
      </c>
      <c r="C28" s="3">
        <v>0.05</v>
      </c>
    </row>
    <row r="29" spans="1:3" x14ac:dyDescent="0.25">
      <c r="A29" t="s">
        <v>8</v>
      </c>
      <c r="B29" s="1">
        <v>12000</v>
      </c>
      <c r="C29" s="3">
        <v>0.05</v>
      </c>
    </row>
    <row r="30" spans="1:3" x14ac:dyDescent="0.25">
      <c r="A30" t="s">
        <v>17</v>
      </c>
      <c r="B30" s="1">
        <v>12000</v>
      </c>
      <c r="C30" s="3">
        <v>0.05</v>
      </c>
    </row>
    <row r="31" spans="1:3" x14ac:dyDescent="0.25">
      <c r="A31" t="s">
        <v>16</v>
      </c>
      <c r="B31" s="1">
        <v>5000</v>
      </c>
      <c r="C31" s="3">
        <v>0.05</v>
      </c>
    </row>
    <row r="32" spans="1:3" x14ac:dyDescent="0.25">
      <c r="A32" t="s">
        <v>57</v>
      </c>
      <c r="B32" s="1">
        <v>10000</v>
      </c>
      <c r="C32" s="3">
        <v>0.05</v>
      </c>
    </row>
    <row r="33" spans="1:3" x14ac:dyDescent="0.25">
      <c r="A33" t="s">
        <v>58</v>
      </c>
      <c r="B33" s="1">
        <v>12000</v>
      </c>
      <c r="C33" s="3">
        <v>0.05</v>
      </c>
    </row>
    <row r="34" spans="1:3" x14ac:dyDescent="0.25">
      <c r="A34" t="s">
        <v>18</v>
      </c>
      <c r="B34" s="1">
        <v>25000</v>
      </c>
      <c r="C34" s="3">
        <v>0.05</v>
      </c>
    </row>
    <row r="35" spans="1:3" x14ac:dyDescent="0.25">
      <c r="A35" t="s">
        <v>20</v>
      </c>
      <c r="B35" s="1">
        <v>15000</v>
      </c>
      <c r="C35" s="3">
        <v>0.05</v>
      </c>
    </row>
    <row r="36" spans="1:3" x14ac:dyDescent="0.25">
      <c r="A36" t="s">
        <v>19</v>
      </c>
      <c r="B36" s="1">
        <v>15000</v>
      </c>
      <c r="C36" s="3">
        <v>0.05</v>
      </c>
    </row>
    <row r="37" spans="1:3" x14ac:dyDescent="0.25">
      <c r="A37" t="s">
        <v>21</v>
      </c>
      <c r="B37" s="1">
        <v>10000</v>
      </c>
      <c r="C37" s="3">
        <v>0.05</v>
      </c>
    </row>
    <row r="38" spans="1:3" x14ac:dyDescent="0.25">
      <c r="A38" t="s">
        <v>50</v>
      </c>
      <c r="B38" s="1">
        <v>7000</v>
      </c>
      <c r="C38" s="3">
        <v>0.05</v>
      </c>
    </row>
    <row r="39" spans="1:3" x14ac:dyDescent="0.25">
      <c r="A39" t="s">
        <v>22</v>
      </c>
      <c r="B39" s="1">
        <v>7000</v>
      </c>
      <c r="C39" s="3">
        <v>0.05</v>
      </c>
    </row>
    <row r="40" spans="1:3" x14ac:dyDescent="0.25">
      <c r="A40" t="s">
        <v>24</v>
      </c>
      <c r="B40" s="1">
        <v>7000</v>
      </c>
      <c r="C40" s="3">
        <v>0.05</v>
      </c>
    </row>
    <row r="41" spans="1:3" x14ac:dyDescent="0.25">
      <c r="A41" t="s">
        <v>25</v>
      </c>
      <c r="B41" s="1">
        <v>12000</v>
      </c>
      <c r="C41" s="3">
        <v>0.05</v>
      </c>
    </row>
    <row r="42" spans="1:3" x14ac:dyDescent="0.25">
      <c r="A42" t="s">
        <v>23</v>
      </c>
      <c r="B42" s="1">
        <v>25000</v>
      </c>
      <c r="C42" s="3">
        <v>0.05</v>
      </c>
    </row>
    <row r="43" spans="1:3" x14ac:dyDescent="0.25">
      <c r="A43" t="s">
        <v>59</v>
      </c>
      <c r="B43" s="1">
        <v>7000</v>
      </c>
      <c r="C43" s="3">
        <v>0.05</v>
      </c>
    </row>
    <row r="44" spans="1:3" x14ac:dyDescent="0.25">
      <c r="A44" t="s">
        <v>9</v>
      </c>
      <c r="B44" s="1">
        <v>25000</v>
      </c>
      <c r="C44" s="3">
        <v>0.05</v>
      </c>
    </row>
    <row r="45" spans="1:3" x14ac:dyDescent="0.25">
      <c r="A45" t="s">
        <v>42</v>
      </c>
      <c r="B45" s="1">
        <v>20000</v>
      </c>
      <c r="C45" s="3">
        <v>0.05</v>
      </c>
    </row>
    <row r="46" spans="1:3" x14ac:dyDescent="0.25">
      <c r="A46" t="s">
        <v>43</v>
      </c>
      <c r="B46" s="1">
        <v>20000</v>
      </c>
      <c r="C46" s="3">
        <v>0.05</v>
      </c>
    </row>
    <row r="47" spans="1:3" x14ac:dyDescent="0.25">
      <c r="A47" t="s">
        <v>44</v>
      </c>
      <c r="B47" s="1">
        <v>25000</v>
      </c>
      <c r="C47" s="3">
        <v>0.05</v>
      </c>
    </row>
    <row r="48" spans="1:3" x14ac:dyDescent="0.25">
      <c r="A48" t="s">
        <v>47</v>
      </c>
      <c r="B48" s="1">
        <v>30000</v>
      </c>
      <c r="C48" s="3">
        <v>0.05</v>
      </c>
    </row>
    <row r="49" spans="1:3" x14ac:dyDescent="0.25">
      <c r="A49" t="s">
        <v>46</v>
      </c>
      <c r="B49" s="1">
        <v>10000</v>
      </c>
      <c r="C49" s="3">
        <v>0.05</v>
      </c>
    </row>
    <row r="50" spans="1:3" x14ac:dyDescent="0.25">
      <c r="A50" t="s">
        <v>53</v>
      </c>
      <c r="B50" s="1">
        <v>10000</v>
      </c>
      <c r="C50" s="3">
        <v>0.05</v>
      </c>
    </row>
    <row r="51" spans="1:3" x14ac:dyDescent="0.25">
      <c r="A51" t="s">
        <v>45</v>
      </c>
      <c r="B51" s="1">
        <v>15000</v>
      </c>
      <c r="C51" s="3">
        <v>0.05</v>
      </c>
    </row>
    <row r="52" spans="1:3" x14ac:dyDescent="0.25">
      <c r="A52" t="s">
        <v>60</v>
      </c>
      <c r="B52" s="1">
        <v>25000</v>
      </c>
      <c r="C52" s="3">
        <v>0.05</v>
      </c>
    </row>
    <row r="53" spans="1:3" x14ac:dyDescent="0.25">
      <c r="A53" t="s">
        <v>203</v>
      </c>
      <c r="B53" s="1">
        <v>7000</v>
      </c>
      <c r="C53" s="3">
        <v>0.05</v>
      </c>
    </row>
    <row r="55" spans="1:3" x14ac:dyDescent="0.25">
      <c r="A55" t="s">
        <v>62</v>
      </c>
      <c r="B55" s="1">
        <v>8000</v>
      </c>
      <c r="C55" s="3">
        <v>0</v>
      </c>
    </row>
    <row r="56" spans="1:3" x14ac:dyDescent="0.25">
      <c r="A56" t="s">
        <v>63</v>
      </c>
      <c r="B56" s="1">
        <v>8000</v>
      </c>
      <c r="C56" s="3">
        <v>0</v>
      </c>
    </row>
    <row r="57" spans="1:3" x14ac:dyDescent="0.25">
      <c r="A57" t="s">
        <v>64</v>
      </c>
      <c r="B57" s="1">
        <v>30000</v>
      </c>
      <c r="C57" s="3">
        <v>0</v>
      </c>
    </row>
    <row r="58" spans="1:3" x14ac:dyDescent="0.25">
      <c r="A58" t="s">
        <v>65</v>
      </c>
      <c r="B58" s="1">
        <v>30000</v>
      </c>
      <c r="C58" s="3">
        <v>0</v>
      </c>
    </row>
    <row r="59" spans="1:3" x14ac:dyDescent="0.25">
      <c r="A59" t="s">
        <v>66</v>
      </c>
      <c r="B59" s="1">
        <v>15000</v>
      </c>
      <c r="C59" s="3">
        <v>0</v>
      </c>
    </row>
    <row r="60" spans="1:3" x14ac:dyDescent="0.25">
      <c r="A60" t="s">
        <v>67</v>
      </c>
      <c r="B60" s="1">
        <v>15000</v>
      </c>
      <c r="C60" s="3">
        <v>0</v>
      </c>
    </row>
    <row r="61" spans="1:3" x14ac:dyDescent="0.25">
      <c r="A61" t="s">
        <v>68</v>
      </c>
      <c r="B61" s="1">
        <v>10000</v>
      </c>
      <c r="C61" s="3">
        <v>0</v>
      </c>
    </row>
    <row r="62" spans="1:3" x14ac:dyDescent="0.25">
      <c r="A62" t="s">
        <v>69</v>
      </c>
      <c r="B62" s="1">
        <v>18000</v>
      </c>
      <c r="C62" s="3">
        <v>0</v>
      </c>
    </row>
    <row r="63" spans="1:3" x14ac:dyDescent="0.25">
      <c r="A63" t="s">
        <v>70</v>
      </c>
      <c r="B63" s="1">
        <v>25000</v>
      </c>
      <c r="C63" s="3">
        <v>0</v>
      </c>
    </row>
    <row r="64" spans="1:3" x14ac:dyDescent="0.25">
      <c r="A64" t="s">
        <v>71</v>
      </c>
      <c r="B64" s="1">
        <v>28000</v>
      </c>
      <c r="C64" s="3">
        <v>0</v>
      </c>
    </row>
    <row r="65" spans="1:3" x14ac:dyDescent="0.25">
      <c r="A65" t="s">
        <v>72</v>
      </c>
      <c r="B65" s="1">
        <v>30000</v>
      </c>
      <c r="C65" s="3">
        <v>0</v>
      </c>
    </row>
    <row r="66" spans="1:3" x14ac:dyDescent="0.25">
      <c r="A66" t="s">
        <v>48</v>
      </c>
      <c r="B66" s="1">
        <v>25000</v>
      </c>
      <c r="C66" s="3">
        <v>0</v>
      </c>
    </row>
    <row r="67" spans="1:3" x14ac:dyDescent="0.25">
      <c r="A67" t="s">
        <v>73</v>
      </c>
      <c r="B67" s="1">
        <v>7000</v>
      </c>
      <c r="C67" s="3">
        <v>0</v>
      </c>
    </row>
    <row r="68" spans="1:3" x14ac:dyDescent="0.25">
      <c r="A68" t="s">
        <v>51</v>
      </c>
      <c r="B68" s="1">
        <v>15000</v>
      </c>
      <c r="C68" s="3">
        <v>0</v>
      </c>
    </row>
    <row r="69" spans="1:3" x14ac:dyDescent="0.25">
      <c r="A69" t="s">
        <v>80</v>
      </c>
      <c r="B69" s="1">
        <v>40000</v>
      </c>
      <c r="C69" s="3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162AD4-4FD0-40DE-B28B-453ABC50AE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Daily_table</vt:lpstr>
      <vt:lpstr>Test_Count</vt:lpstr>
      <vt:lpstr>ReferBy-Table</vt:lpstr>
      <vt:lpstr>Price_Master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 Paing</dc:creator>
  <cp:lastModifiedBy>Sat Paing</cp:lastModifiedBy>
  <dcterms:created xsi:type="dcterms:W3CDTF">2026-01-04T12:36:41Z</dcterms:created>
  <dcterms:modified xsi:type="dcterms:W3CDTF">2026-03-31T12:01:35Z</dcterms:modified>
</cp:coreProperties>
</file>